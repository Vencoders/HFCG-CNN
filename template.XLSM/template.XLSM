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ws\Desktop\SRNTT&amp;HFCG-CNN\HFCG-CNN\template.XLSM\"/>
    </mc:Choice>
  </mc:AlternateContent>
  <xr:revisionPtr revIDLastSave="0" documentId="13_ncr:1_{2F7B9DC2-C3AE-47C0-AFDD-CF14CAF7F9D8}" xr6:coauthVersionLast="47" xr6:coauthVersionMax="47" xr10:uidLastSave="{00000000-0000-0000-0000-000000000000}"/>
  <bookViews>
    <workbookView xWindow="-120" yWindow="-120" windowWidth="29040" windowHeight="15840" tabRatio="884" xr2:uid="{00000000-000D-0000-FFFF-FFFF00000000}"/>
  </bookViews>
  <sheets>
    <sheet name="RA" sheetId="27" r:id="rId1"/>
    <sheet name="Reference" sheetId="17" r:id="rId2"/>
    <sheet name="Test" sheetId="1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18" l="1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2" i="18"/>
  <c r="M5" i="27"/>
  <c r="L4" i="27" l="1"/>
  <c r="M4" i="27"/>
  <c r="Q42" i="27" l="1"/>
  <c r="P42" i="27"/>
  <c r="R42" i="27" s="1"/>
  <c r="I42" i="27"/>
  <c r="H42" i="27"/>
  <c r="J42" i="27" s="1"/>
  <c r="O42" i="27"/>
  <c r="N42" i="27"/>
  <c r="M42" i="27"/>
  <c r="L42" i="27"/>
  <c r="G42" i="27"/>
  <c r="F42" i="27"/>
  <c r="E42" i="27"/>
  <c r="D42" i="27"/>
  <c r="Q41" i="27"/>
  <c r="P41" i="27"/>
  <c r="R41" i="27" s="1"/>
  <c r="I41" i="27"/>
  <c r="H41" i="27"/>
  <c r="J41" i="27" s="1"/>
  <c r="O41" i="27"/>
  <c r="N41" i="27"/>
  <c r="M41" i="27"/>
  <c r="L41" i="27"/>
  <c r="G41" i="27"/>
  <c r="F41" i="27"/>
  <c r="E41" i="27"/>
  <c r="D41" i="27"/>
  <c r="Q40" i="27"/>
  <c r="P40" i="27"/>
  <c r="R40" i="27" s="1"/>
  <c r="I40" i="27"/>
  <c r="H40" i="27"/>
  <c r="J40" i="27" s="1"/>
  <c r="O40" i="27"/>
  <c r="N40" i="27"/>
  <c r="M40" i="27"/>
  <c r="L40" i="27"/>
  <c r="G40" i="27"/>
  <c r="F40" i="27"/>
  <c r="E40" i="27"/>
  <c r="D40" i="27"/>
  <c r="L39" i="27"/>
  <c r="O39" i="27"/>
  <c r="N39" i="27"/>
  <c r="M39" i="27"/>
  <c r="Q39" i="27"/>
  <c r="P39" i="27"/>
  <c r="R39" i="27" s="1"/>
  <c r="D39" i="27"/>
  <c r="G39" i="27"/>
  <c r="F39" i="27"/>
  <c r="E39" i="27"/>
  <c r="I39" i="27"/>
  <c r="H39" i="27"/>
  <c r="J39" i="27" s="1"/>
  <c r="Q38" i="27"/>
  <c r="P38" i="27"/>
  <c r="R38" i="27" s="1"/>
  <c r="I38" i="27"/>
  <c r="H38" i="27"/>
  <c r="J38" i="27" s="1"/>
  <c r="O38" i="27"/>
  <c r="N38" i="27"/>
  <c r="M38" i="27"/>
  <c r="L38" i="27"/>
  <c r="G38" i="27"/>
  <c r="F38" i="27"/>
  <c r="E38" i="27"/>
  <c r="D38" i="27"/>
  <c r="Q37" i="27"/>
  <c r="P37" i="27"/>
  <c r="I37" i="27"/>
  <c r="H37" i="27"/>
  <c r="J37" i="27" s="1"/>
  <c r="O37" i="27"/>
  <c r="N37" i="27"/>
  <c r="M37" i="27"/>
  <c r="L37" i="27"/>
  <c r="G37" i="27"/>
  <c r="F37" i="27"/>
  <c r="E37" i="27"/>
  <c r="D37" i="27"/>
  <c r="Q36" i="27"/>
  <c r="P36" i="27"/>
  <c r="R36" i="27" s="1"/>
  <c r="I36" i="27"/>
  <c r="H36" i="27"/>
  <c r="J36" i="27" s="1"/>
  <c r="O36" i="27"/>
  <c r="N36" i="27"/>
  <c r="M36" i="27"/>
  <c r="L36" i="27"/>
  <c r="G36" i="27"/>
  <c r="F36" i="27"/>
  <c r="E36" i="27"/>
  <c r="D36" i="27"/>
  <c r="L35" i="27"/>
  <c r="O35" i="27"/>
  <c r="N35" i="27"/>
  <c r="M35" i="27"/>
  <c r="Q35" i="27"/>
  <c r="P35" i="27"/>
  <c r="D35" i="27"/>
  <c r="G35" i="27"/>
  <c r="F35" i="27"/>
  <c r="E35" i="27"/>
  <c r="I35" i="27"/>
  <c r="H35" i="27"/>
  <c r="J35" i="27" s="1"/>
  <c r="Q34" i="27"/>
  <c r="P34" i="27"/>
  <c r="R34" i="27" s="1"/>
  <c r="I34" i="27"/>
  <c r="H34" i="27"/>
  <c r="J34" i="27" s="1"/>
  <c r="O34" i="27"/>
  <c r="N34" i="27"/>
  <c r="M34" i="27"/>
  <c r="L34" i="27"/>
  <c r="G34" i="27"/>
  <c r="F34" i="27"/>
  <c r="E34" i="27"/>
  <c r="D34" i="27"/>
  <c r="Q33" i="27"/>
  <c r="P33" i="27"/>
  <c r="R33" i="27" s="1"/>
  <c r="I33" i="27"/>
  <c r="H33" i="27"/>
  <c r="O33" i="27"/>
  <c r="N33" i="27"/>
  <c r="M33" i="27"/>
  <c r="L33" i="27"/>
  <c r="G33" i="27"/>
  <c r="F33" i="27"/>
  <c r="E33" i="27"/>
  <c r="D33" i="27"/>
  <c r="Q32" i="27"/>
  <c r="P32" i="27"/>
  <c r="R32" i="27" s="1"/>
  <c r="I32" i="27"/>
  <c r="H32" i="27"/>
  <c r="J32" i="27" s="1"/>
  <c r="O32" i="27"/>
  <c r="N32" i="27"/>
  <c r="M32" i="27"/>
  <c r="L32" i="27"/>
  <c r="G32" i="27"/>
  <c r="F32" i="27"/>
  <c r="E32" i="27"/>
  <c r="D32" i="27"/>
  <c r="L31" i="27"/>
  <c r="O31" i="27"/>
  <c r="N31" i="27"/>
  <c r="M31" i="27"/>
  <c r="Q31" i="27"/>
  <c r="P31" i="27"/>
  <c r="R31" i="27" s="1"/>
  <c r="D31" i="27"/>
  <c r="G31" i="27"/>
  <c r="F31" i="27"/>
  <c r="E31" i="27"/>
  <c r="I31" i="27"/>
  <c r="H31" i="27"/>
  <c r="J31" i="27" s="1"/>
  <c r="Q30" i="27"/>
  <c r="P30" i="27"/>
  <c r="R30" i="27" s="1"/>
  <c r="I30" i="27"/>
  <c r="H30" i="27"/>
  <c r="J30" i="27" s="1"/>
  <c r="O30" i="27"/>
  <c r="N30" i="27"/>
  <c r="M30" i="27"/>
  <c r="L30" i="27"/>
  <c r="G30" i="27"/>
  <c r="F30" i="27"/>
  <c r="E30" i="27"/>
  <c r="D30" i="27"/>
  <c r="Q29" i="27"/>
  <c r="P29" i="27"/>
  <c r="I29" i="27"/>
  <c r="H29" i="27"/>
  <c r="J29" i="27" s="1"/>
  <c r="O29" i="27"/>
  <c r="N29" i="27"/>
  <c r="M29" i="27"/>
  <c r="L29" i="27"/>
  <c r="G29" i="27"/>
  <c r="F29" i="27"/>
  <c r="E29" i="27"/>
  <c r="D29" i="27"/>
  <c r="Q28" i="27"/>
  <c r="P28" i="27"/>
  <c r="I28" i="27"/>
  <c r="H28" i="27"/>
  <c r="J28" i="27" s="1"/>
  <c r="O28" i="27"/>
  <c r="N28" i="27"/>
  <c r="M28" i="27"/>
  <c r="L28" i="27"/>
  <c r="G28" i="27"/>
  <c r="F28" i="27"/>
  <c r="E28" i="27"/>
  <c r="D28" i="27"/>
  <c r="L27" i="27"/>
  <c r="O27" i="27"/>
  <c r="N27" i="27"/>
  <c r="M27" i="27"/>
  <c r="Q27" i="27"/>
  <c r="P27" i="27"/>
  <c r="R27" i="27" s="1"/>
  <c r="D27" i="27"/>
  <c r="G27" i="27"/>
  <c r="F27" i="27"/>
  <c r="E27" i="27"/>
  <c r="I27" i="27"/>
  <c r="H27" i="27"/>
  <c r="J27" i="27" s="1"/>
  <c r="Q26" i="27"/>
  <c r="P26" i="27"/>
  <c r="R26" i="27" s="1"/>
  <c r="I26" i="27"/>
  <c r="H26" i="27"/>
  <c r="J26" i="27" s="1"/>
  <c r="O26" i="27"/>
  <c r="N26" i="27"/>
  <c r="M26" i="27"/>
  <c r="L26" i="27"/>
  <c r="G26" i="27"/>
  <c r="F26" i="27"/>
  <c r="E26" i="27"/>
  <c r="D26" i="27"/>
  <c r="Q25" i="27"/>
  <c r="P25" i="27"/>
  <c r="R25" i="27" s="1"/>
  <c r="I25" i="27"/>
  <c r="H25" i="27"/>
  <c r="J25" i="27" s="1"/>
  <c r="O25" i="27"/>
  <c r="N25" i="27"/>
  <c r="M25" i="27"/>
  <c r="L25" i="27"/>
  <c r="G25" i="27"/>
  <c r="F25" i="27"/>
  <c r="E25" i="27"/>
  <c r="D25" i="27"/>
  <c r="Q24" i="27"/>
  <c r="P24" i="27"/>
  <c r="R24" i="27" s="1"/>
  <c r="I24" i="27"/>
  <c r="H24" i="27"/>
  <c r="J24" i="27" s="1"/>
  <c r="O24" i="27"/>
  <c r="N24" i="27"/>
  <c r="M24" i="27"/>
  <c r="L24" i="27"/>
  <c r="G24" i="27"/>
  <c r="F24" i="27"/>
  <c r="E24" i="27"/>
  <c r="D24" i="27"/>
  <c r="L23" i="27"/>
  <c r="O23" i="27"/>
  <c r="N23" i="27"/>
  <c r="M23" i="27"/>
  <c r="Q23" i="27"/>
  <c r="P23" i="27"/>
  <c r="R23" i="27" s="1"/>
  <c r="D23" i="27"/>
  <c r="G23" i="27"/>
  <c r="F23" i="27"/>
  <c r="E23" i="27"/>
  <c r="I23" i="27"/>
  <c r="H23" i="27"/>
  <c r="Q22" i="27"/>
  <c r="P22" i="27"/>
  <c r="R22" i="27" s="1"/>
  <c r="I22" i="27"/>
  <c r="H22" i="27"/>
  <c r="J22" i="27" s="1"/>
  <c r="O22" i="27"/>
  <c r="N22" i="27"/>
  <c r="M22" i="27"/>
  <c r="L22" i="27"/>
  <c r="G22" i="27"/>
  <c r="F22" i="27"/>
  <c r="E22" i="27"/>
  <c r="D22" i="27"/>
  <c r="Q21" i="27"/>
  <c r="P21" i="27"/>
  <c r="I21" i="27"/>
  <c r="H21" i="27"/>
  <c r="J21" i="27" s="1"/>
  <c r="O21" i="27"/>
  <c r="N21" i="27"/>
  <c r="M21" i="27"/>
  <c r="L21" i="27"/>
  <c r="G21" i="27"/>
  <c r="F21" i="27"/>
  <c r="E21" i="27"/>
  <c r="D21" i="27"/>
  <c r="Q20" i="27"/>
  <c r="P20" i="27"/>
  <c r="R20" i="27" s="1"/>
  <c r="I20" i="27"/>
  <c r="H20" i="27"/>
  <c r="O20" i="27"/>
  <c r="N20" i="27"/>
  <c r="M20" i="27"/>
  <c r="L20" i="27"/>
  <c r="G20" i="27"/>
  <c r="F20" i="27"/>
  <c r="E20" i="27"/>
  <c r="D20" i="27"/>
  <c r="L19" i="27"/>
  <c r="O19" i="27"/>
  <c r="N19" i="27"/>
  <c r="M19" i="27"/>
  <c r="Q19" i="27"/>
  <c r="P19" i="27"/>
  <c r="R19" i="27" s="1"/>
  <c r="D19" i="27"/>
  <c r="G19" i="27"/>
  <c r="F19" i="27"/>
  <c r="E19" i="27"/>
  <c r="I19" i="27"/>
  <c r="H19" i="27"/>
  <c r="J19" i="27" s="1"/>
  <c r="Q18" i="27"/>
  <c r="P18" i="27"/>
  <c r="R18" i="27" s="1"/>
  <c r="I18" i="27"/>
  <c r="H18" i="27"/>
  <c r="J18" i="27" s="1"/>
  <c r="O18" i="27"/>
  <c r="N18" i="27"/>
  <c r="M18" i="27"/>
  <c r="L18" i="27"/>
  <c r="G18" i="27"/>
  <c r="F18" i="27"/>
  <c r="E18" i="27"/>
  <c r="D18" i="27"/>
  <c r="Q17" i="27"/>
  <c r="P17" i="27"/>
  <c r="R17" i="27" s="1"/>
  <c r="I17" i="27"/>
  <c r="H17" i="27"/>
  <c r="J17" i="27" s="1"/>
  <c r="O17" i="27"/>
  <c r="N17" i="27"/>
  <c r="M17" i="27"/>
  <c r="L17" i="27"/>
  <c r="G17" i="27"/>
  <c r="F17" i="27"/>
  <c r="E17" i="27"/>
  <c r="D17" i="27"/>
  <c r="Q16" i="27"/>
  <c r="P16" i="27"/>
  <c r="R16" i="27" s="1"/>
  <c r="I16" i="27"/>
  <c r="H16" i="27"/>
  <c r="J16" i="27" s="1"/>
  <c r="O16" i="27"/>
  <c r="N16" i="27"/>
  <c r="M16" i="27"/>
  <c r="L16" i="27"/>
  <c r="G16" i="27"/>
  <c r="F16" i="27"/>
  <c r="E16" i="27"/>
  <c r="D16" i="27"/>
  <c r="L15" i="27"/>
  <c r="O15" i="27"/>
  <c r="N15" i="27"/>
  <c r="M15" i="27"/>
  <c r="Q15" i="27"/>
  <c r="P15" i="27"/>
  <c r="R15" i="27" s="1"/>
  <c r="D15" i="27"/>
  <c r="G15" i="27"/>
  <c r="F15" i="27"/>
  <c r="E15" i="27"/>
  <c r="I15" i="27"/>
  <c r="H15" i="27"/>
  <c r="J15" i="27" s="1"/>
  <c r="D3" i="27"/>
  <c r="E3" i="27"/>
  <c r="F3" i="27"/>
  <c r="G3" i="27"/>
  <c r="H3" i="27"/>
  <c r="J3" i="27" s="1"/>
  <c r="I3" i="27"/>
  <c r="Q3" i="27"/>
  <c r="L3" i="27"/>
  <c r="U3" i="27" s="1"/>
  <c r="M3" i="27"/>
  <c r="N3" i="27"/>
  <c r="O3" i="27"/>
  <c r="P3" i="27"/>
  <c r="R3" i="27" s="1"/>
  <c r="L6" i="27"/>
  <c r="L5" i="27"/>
  <c r="O4" i="27"/>
  <c r="O5" i="27"/>
  <c r="O6" i="27"/>
  <c r="L10" i="27"/>
  <c r="L9" i="27"/>
  <c r="L8" i="27"/>
  <c r="L7" i="27"/>
  <c r="O7" i="27"/>
  <c r="O8" i="27"/>
  <c r="O9" i="27"/>
  <c r="O10" i="27"/>
  <c r="L14" i="27"/>
  <c r="L13" i="27"/>
  <c r="L12" i="27"/>
  <c r="L11" i="27"/>
  <c r="O11" i="27"/>
  <c r="O12" i="27"/>
  <c r="O13" i="27"/>
  <c r="O14" i="27"/>
  <c r="N4" i="27"/>
  <c r="N5" i="27"/>
  <c r="N6" i="27"/>
  <c r="N7" i="27"/>
  <c r="N8" i="27"/>
  <c r="N9" i="27"/>
  <c r="N10" i="27"/>
  <c r="N11" i="27"/>
  <c r="N12" i="27"/>
  <c r="N13" i="27"/>
  <c r="N14" i="27"/>
  <c r="M6" i="27"/>
  <c r="M7" i="27"/>
  <c r="M8" i="27"/>
  <c r="M9" i="27"/>
  <c r="M10" i="27"/>
  <c r="M11" i="27"/>
  <c r="M12" i="27"/>
  <c r="M13" i="27"/>
  <c r="M14" i="27"/>
  <c r="Q4" i="27"/>
  <c r="Q5" i="27"/>
  <c r="Q6" i="27"/>
  <c r="Q7" i="27"/>
  <c r="Q8" i="27"/>
  <c r="Q9" i="27"/>
  <c r="Q10" i="27"/>
  <c r="Q11" i="27"/>
  <c r="Q12" i="27"/>
  <c r="Q13" i="27"/>
  <c r="Q14" i="27"/>
  <c r="P4" i="27"/>
  <c r="P5" i="27"/>
  <c r="P6" i="27"/>
  <c r="R6" i="27" s="1"/>
  <c r="P7" i="27"/>
  <c r="R7" i="27" s="1"/>
  <c r="P8" i="27"/>
  <c r="R8" i="27" s="1"/>
  <c r="P9" i="27"/>
  <c r="P10" i="27"/>
  <c r="R10" i="27" s="1"/>
  <c r="P11" i="27"/>
  <c r="R11" i="27" s="1"/>
  <c r="P12" i="27"/>
  <c r="P13" i="27"/>
  <c r="R13" i="27" s="1"/>
  <c r="P14" i="27"/>
  <c r="R14" i="27" s="1"/>
  <c r="D6" i="27"/>
  <c r="D5" i="27"/>
  <c r="D4" i="27"/>
  <c r="U4" i="27" s="1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 s="1"/>
  <c r="H5" i="27"/>
  <c r="J5" i="27" s="1"/>
  <c r="H6" i="27"/>
  <c r="J6" i="27" s="1"/>
  <c r="H7" i="27"/>
  <c r="J7" i="27" s="1"/>
  <c r="H8" i="27"/>
  <c r="J8" i="27" s="1"/>
  <c r="H9" i="27"/>
  <c r="J9" i="27" s="1"/>
  <c r="H10" i="27"/>
  <c r="H11" i="27"/>
  <c r="J11" i="27" s="1"/>
  <c r="H12" i="27"/>
  <c r="J12" i="27" s="1"/>
  <c r="H13" i="27"/>
  <c r="J13" i="27" s="1"/>
  <c r="H14" i="27"/>
  <c r="J14" i="27" s="1"/>
  <c r="I4" i="27"/>
  <c r="I5" i="27"/>
  <c r="I6" i="27"/>
  <c r="I7" i="27"/>
  <c r="I8" i="27"/>
  <c r="I9" i="27"/>
  <c r="I10" i="27"/>
  <c r="I11" i="27"/>
  <c r="I12" i="27"/>
  <c r="I13" i="27"/>
  <c r="I14" i="27"/>
  <c r="W3" i="27"/>
  <c r="X7" i="27"/>
  <c r="V15" i="27"/>
  <c r="V19" i="27"/>
  <c r="X23" i="27"/>
  <c r="V3" i="27"/>
  <c r="X31" i="27"/>
  <c r="W23" i="27"/>
  <c r="V35" i="27"/>
  <c r="W35" i="27"/>
  <c r="X3" i="27"/>
  <c r="X27" i="27"/>
  <c r="V23" i="27"/>
  <c r="X15" i="27"/>
  <c r="X35" i="27"/>
  <c r="W19" i="27"/>
  <c r="W27" i="27"/>
  <c r="W39" i="27"/>
  <c r="V31" i="27"/>
  <c r="W31" i="27"/>
  <c r="W15" i="27"/>
  <c r="W11" i="27"/>
  <c r="X39" i="27"/>
  <c r="W7" i="27"/>
  <c r="V27" i="27"/>
  <c r="V11" i="27"/>
  <c r="V39" i="27"/>
  <c r="X19" i="27"/>
  <c r="V7" i="27"/>
  <c r="X11" i="27"/>
  <c r="U40" i="27" l="1"/>
  <c r="U41" i="27"/>
  <c r="U42" i="27"/>
  <c r="U9" i="27"/>
  <c r="U10" i="27"/>
  <c r="U5" i="27"/>
  <c r="U8" i="27"/>
  <c r="U7" i="27"/>
  <c r="U39" i="27"/>
  <c r="U13" i="27"/>
  <c r="U14" i="27"/>
  <c r="U11" i="27"/>
  <c r="U6" i="27"/>
  <c r="U15" i="27"/>
  <c r="U19" i="27"/>
  <c r="U23" i="27"/>
  <c r="U27" i="27"/>
  <c r="U31" i="27"/>
  <c r="U35" i="27"/>
  <c r="U12" i="27"/>
  <c r="U16" i="27"/>
  <c r="U17" i="27"/>
  <c r="U18" i="27"/>
  <c r="U20" i="27"/>
  <c r="U21" i="27"/>
  <c r="U22" i="27"/>
  <c r="U24" i="27"/>
  <c r="U25" i="27"/>
  <c r="U26" i="27"/>
  <c r="U28" i="27"/>
  <c r="U29" i="27"/>
  <c r="U30" i="27"/>
  <c r="U32" i="27"/>
  <c r="U33" i="27"/>
  <c r="U34" i="27"/>
  <c r="U36" i="27"/>
  <c r="U37" i="27"/>
  <c r="U38" i="27"/>
  <c r="W43" i="27"/>
  <c r="X43" i="27"/>
  <c r="V43" i="27"/>
  <c r="Q43" i="27"/>
  <c r="I43" i="27"/>
  <c r="T9" i="27"/>
  <c r="T6" i="27"/>
  <c r="T5" i="27"/>
  <c r="S9" i="27"/>
  <c r="T7" i="27"/>
  <c r="T17" i="27"/>
  <c r="T29" i="27"/>
  <c r="T37" i="27"/>
  <c r="S12" i="27"/>
  <c r="T23" i="27"/>
  <c r="S23" i="27"/>
  <c r="S26" i="27"/>
  <c r="T10" i="27"/>
  <c r="S8" i="27"/>
  <c r="T18" i="27"/>
  <c r="T20" i="27"/>
  <c r="T24" i="27"/>
  <c r="T30" i="27"/>
  <c r="T32" i="27"/>
  <c r="T13" i="27"/>
  <c r="S39" i="27"/>
  <c r="T19" i="27"/>
  <c r="S11" i="27"/>
  <c r="S31" i="27"/>
  <c r="S10" i="27"/>
  <c r="T8" i="27"/>
  <c r="S19" i="27"/>
  <c r="S15" i="27"/>
  <c r="S41" i="27"/>
  <c r="T35" i="27"/>
  <c r="S5" i="27"/>
  <c r="J10" i="27"/>
  <c r="S42" i="27"/>
  <c r="S34" i="27"/>
  <c r="T21" i="27"/>
  <c r="T22" i="27"/>
  <c r="T25" i="27"/>
  <c r="T26" i="27"/>
  <c r="S28" i="27"/>
  <c r="J23" i="27"/>
  <c r="T14" i="27"/>
  <c r="T33" i="27"/>
  <c r="S32" i="27"/>
  <c r="T40" i="27"/>
  <c r="T41" i="27"/>
  <c r="T39" i="27"/>
  <c r="R28" i="27"/>
  <c r="S33" i="27"/>
  <c r="S17" i="27"/>
  <c r="T4" i="27"/>
  <c r="T36" i="27"/>
  <c r="T38" i="27"/>
  <c r="R5" i="27"/>
  <c r="T27" i="27"/>
  <c r="R9" i="27"/>
  <c r="J33" i="27"/>
  <c r="T42" i="27"/>
  <c r="S27" i="27"/>
  <c r="S14" i="27"/>
  <c r="T3" i="27"/>
  <c r="S18" i="27"/>
  <c r="S3" i="27"/>
  <c r="S6" i="27"/>
  <c r="S25" i="27"/>
  <c r="T28" i="27"/>
  <c r="T16" i="27"/>
  <c r="S38" i="27"/>
  <c r="T12" i="27"/>
  <c r="T15" i="27"/>
  <c r="S40" i="27"/>
  <c r="T31" i="27"/>
  <c r="T34" i="27"/>
  <c r="S24" i="27"/>
  <c r="S30" i="27"/>
  <c r="S7" i="27"/>
  <c r="R12" i="27"/>
  <c r="S16" i="27"/>
  <c r="T11" i="27"/>
  <c r="R37" i="27"/>
  <c r="S37" i="27"/>
  <c r="R35" i="27"/>
  <c r="S35" i="27"/>
  <c r="R21" i="27"/>
  <c r="S21" i="27"/>
  <c r="S20" i="27"/>
  <c r="J20" i="27"/>
  <c r="R4" i="27"/>
  <c r="S4" i="27"/>
  <c r="R29" i="27"/>
  <c r="S29" i="27"/>
  <c r="S13" i="27"/>
  <c r="S22" i="27"/>
  <c r="S36" i="27"/>
  <c r="U43" i="27" l="1"/>
  <c r="J43" i="27"/>
  <c r="R43" i="27"/>
  <c r="T43" i="27"/>
  <c r="S43" i="27"/>
</calcChain>
</file>

<file path=xl/sharedStrings.xml><?xml version="1.0" encoding="utf-8"?>
<sst xmlns="http://schemas.openxmlformats.org/spreadsheetml/2006/main" count="132" uniqueCount="75">
  <si>
    <t>QPISlice</t>
  </si>
  <si>
    <t>All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</si>
  <si>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</si>
  <si>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</si>
  <si>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</si>
  <si>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</si>
  <si>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</si>
  <si>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</si>
  <si>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</si>
  <si>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</si>
  <si>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</si>
  <si>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</si>
  <si>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</si>
  <si>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</si>
  <si>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</si>
  <si>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EncR</t>
  </si>
  <si>
    <t>DecR</t>
  </si>
  <si>
    <t>RA_classValidation_Validation1_22</t>
  </si>
  <si>
    <t>RA_classValidation_Validation1_27</t>
  </si>
  <si>
    <t>RA_classValidation_Validation1_32</t>
  </si>
  <si>
    <t>RA_classValidation_Validation1_37</t>
  </si>
  <si>
    <t>RA_classValidation_Validation2_22</t>
  </si>
  <si>
    <t>RA_classValidation_Validation2_27</t>
  </si>
  <si>
    <t>RA_classValidation_Validation2_32</t>
  </si>
  <si>
    <t>RA_classValidation_Validation2_37</t>
  </si>
  <si>
    <t>RA_classValidation_Validation3_22</t>
  </si>
  <si>
    <t>RA_classValidation_Validation3_27</t>
  </si>
  <si>
    <t>RA_classValidation_Validation3_32</t>
  </si>
  <si>
    <t>RA_classValidation_Validation3_37</t>
  </si>
  <si>
    <t>RA_classValidation_Validation4_22</t>
  </si>
  <si>
    <t>RA_classValidation_Validation4_27</t>
  </si>
  <si>
    <t>RA_classValidation_Validation4_32</t>
  </si>
  <si>
    <t>RA_classValidation_Validation4_37</t>
  </si>
  <si>
    <t>RA_classValidation_Validation5_22</t>
  </si>
  <si>
    <t>RA_classValidation_Validation5_27</t>
  </si>
  <si>
    <t>RA_classValidation_Validation5_32</t>
  </si>
  <si>
    <t>RA_classValidation_Validation5_37</t>
  </si>
  <si>
    <t>RA_classValidation_Validation6_22</t>
  </si>
  <si>
    <t>RA_classValidation_Validation6_27</t>
  </si>
  <si>
    <t>RA_classValidation_Validation6_32</t>
  </si>
  <si>
    <t>RA_classValidation_Validation6_37</t>
  </si>
  <si>
    <t>RA_classValidation_Validation7_22</t>
  </si>
  <si>
    <t>RA_classValidation_Validation7_27</t>
  </si>
  <si>
    <t>RA_classValidation_Validation7_32</t>
  </si>
  <si>
    <t>RA_classValidation_Validation7_37</t>
  </si>
  <si>
    <t>RA_classValidation_Validation8_22</t>
  </si>
  <si>
    <t>RA_classValidation_Validation8_27</t>
  </si>
  <si>
    <t>RA_classValidation_Validation8_32</t>
  </si>
  <si>
    <t>RA_classValidation_Validation8_37</t>
  </si>
  <si>
    <t>RA_classValidation_Validation9_22</t>
  </si>
  <si>
    <t>RA_classValidation_Validation9_27</t>
  </si>
  <si>
    <t>RA_classValidation_Validation9_32</t>
  </si>
  <si>
    <t>RA_classValidation_Validation9_37</t>
  </si>
  <si>
    <t>RA_classValidation_Validation10_22</t>
  </si>
  <si>
    <t>RA_classValidation_Validation10_27</t>
  </si>
  <si>
    <t>RA_classValidation_Validation10_32</t>
  </si>
  <si>
    <t>RA_classValidation_Validation10_37</t>
  </si>
  <si>
    <t>Class Validation</t>
    <phoneticPr fontId="5" type="noConversion"/>
  </si>
  <si>
    <t>Validation1</t>
    <phoneticPr fontId="5" type="noConversion"/>
  </si>
  <si>
    <t>Validation5</t>
    <phoneticPr fontId="5" type="noConversion"/>
  </si>
  <si>
    <t>Validation2</t>
    <phoneticPr fontId="5" type="noConversion"/>
  </si>
  <si>
    <t>Validation3</t>
    <phoneticPr fontId="5" type="noConversion"/>
  </si>
  <si>
    <t>Validation4</t>
    <phoneticPr fontId="5" type="noConversion"/>
  </si>
  <si>
    <t>Validation6</t>
    <phoneticPr fontId="5" type="noConversion"/>
  </si>
  <si>
    <t>Validation7</t>
    <phoneticPr fontId="5" type="noConversion"/>
  </si>
  <si>
    <t>Validation8</t>
    <phoneticPr fontId="5" type="noConversion"/>
  </si>
  <si>
    <t>Validation9</t>
    <phoneticPr fontId="5" type="noConversion"/>
  </si>
  <si>
    <t>Validation10</t>
    <phoneticPr fontId="5" type="noConversion"/>
  </si>
  <si>
    <t>Bitrate Diff</t>
    <phoneticPr fontId="5" type="noConversion"/>
  </si>
  <si>
    <t>note</t>
    <phoneticPr fontId="5" type="noConversion"/>
  </si>
  <si>
    <t>bitrate = total_bits / 1000 / duration, where totat_bits is the total number of bits after compressing the video, duration is the length of the video and measured by seconds</t>
    <phoneticPr fontId="5" type="noConversion"/>
  </si>
  <si>
    <t>Name</t>
  </si>
  <si>
    <t>bit-rate (in kbps)</t>
  </si>
  <si>
    <t>Enc T [in second]</t>
  </si>
  <si>
    <t>Dec T [in second]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</si>
</sst>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12"/>
      <color rgb="FFFF0000"/>
      <name val="宋体"/>
      <family val="2"/>
      <charset val="129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0" fontId="1" fillId="0" borderId="7" xfId="0" applyFont="1" applyBorder="1"/>
    <xf numFmtId="176" fontId="1" fillId="2" borderId="8" xfId="0" applyNumberFormat="1" applyFont="1" applyFill="1" applyBorder="1"/>
    <xf numFmtId="176" fontId="1" fillId="2" borderId="0" xfId="0" applyNumberFormat="1" applyFont="1" applyFill="1" applyBorder="1"/>
    <xf numFmtId="176" fontId="1" fillId="2" borderId="9" xfId="0" applyNumberFormat="1" applyFont="1" applyFill="1" applyBorder="1"/>
    <xf numFmtId="0" fontId="1" fillId="0" borderId="10" xfId="0" applyFont="1" applyBorder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10" fontId="1" fillId="0" borderId="0" xfId="0" applyNumberFormat="1" applyFont="1" applyBorder="1"/>
    <xf numFmtId="0" fontId="1" fillId="0" borderId="6" xfId="0" applyFont="1" applyFill="1" applyBorder="1"/>
    <xf numFmtId="0" fontId="1" fillId="0" borderId="7" xfId="0" applyFont="1" applyFill="1" applyBorder="1"/>
    <xf numFmtId="0" fontId="1" fillId="0" borderId="10" xfId="0" applyFont="1" applyFill="1" applyBorder="1"/>
    <xf numFmtId="0" fontId="2" fillId="0" borderId="0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2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0" xfId="0" applyNumberFormat="1" applyFont="1" applyBorder="1"/>
    <xf numFmtId="2" fontId="1" fillId="0" borderId="2" xfId="0" applyNumberFormat="1" applyFont="1" applyBorder="1"/>
    <xf numFmtId="176" fontId="0" fillId="0" borderId="0" xfId="0" applyNumberFormat="1"/>
    <xf numFmtId="0" fontId="0" fillId="3" borderId="0" xfId="0" applyFill="1"/>
    <xf numFmtId="2" fontId="1" fillId="0" borderId="9" xfId="0" applyNumberFormat="1" applyFont="1" applyBorder="1"/>
    <xf numFmtId="0" fontId="1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0" borderId="0" xfId="0" applyFont="1"/>
    <xf numFmtId="0" fontId="0" fillId="0" borderId="0" xfId="0" applyAlignment="1">
      <alignment horizontal="right"/>
    </xf>
    <xf numFmtId="0" fontId="7" fillId="0" borderId="0" xfId="0" applyFont="1"/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</cellXfs>
  <cellStyles count="5">
    <cellStyle name="常规" xfId="0" builtinId="0"/>
    <cellStyle name="超链接" xfId="1" builtinId="8" hidden="1"/>
    <cellStyle name="超链接" xfId="3" builtinId="8" hidden="1"/>
    <cellStyle name="已访问的超链接" xfId="2" builtinId="9" hidden="1"/>
    <cellStyle name="已访问的超链接" xfId="4" builtinId="9" hidden="1"/>
  </cellStyles>
  <dxfs count="5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49"/>
  <sheetViews>
    <sheetView tabSelected="1" workbookViewId="0">
      <selection activeCell="Z14" sqref="Z14"/>
    </sheetView>
  </sheetViews>
  <sheetFormatPr defaultColWidth="10.875" defaultRowHeight="12" x14ac:dyDescent="0.2"/>
  <cols>
    <col min="1" max="1" width="13.8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10" style="1" customWidth="1"/>
    <col min="22" max="25" width="8.875" style="1" customWidth="1"/>
    <col min="26" max="16384" width="10.875" style="1"/>
  </cols>
  <sheetData>
    <row r="1" spans="1:25" ht="12.75" thickBot="1" x14ac:dyDescent="0.25">
      <c r="D1" s="52" t="s">
        <v>2</v>
      </c>
      <c r="E1" s="53"/>
      <c r="F1" s="53"/>
      <c r="G1" s="53"/>
      <c r="H1" s="53"/>
      <c r="I1" s="53"/>
      <c r="J1" s="54"/>
      <c r="L1" s="52" t="s">
        <v>3</v>
      </c>
      <c r="M1" s="53"/>
      <c r="N1" s="53"/>
      <c r="O1" s="53"/>
      <c r="P1" s="53"/>
      <c r="Q1" s="53"/>
      <c r="R1" s="54"/>
      <c r="S1" s="25"/>
      <c r="T1" s="25"/>
      <c r="U1" s="2"/>
      <c r="V1" s="52" t="s">
        <v>14</v>
      </c>
      <c r="W1" s="53"/>
      <c r="X1" s="54"/>
      <c r="Y1" s="47"/>
    </row>
    <row r="2" spans="1:25" ht="12.75" thickBot="1" x14ac:dyDescent="0.25">
      <c r="A2" s="39"/>
      <c r="B2" s="35"/>
      <c r="C2" s="34" t="s">
        <v>0</v>
      </c>
      <c r="D2" s="6" t="s">
        <v>4</v>
      </c>
      <c r="E2" s="7" t="s">
        <v>5</v>
      </c>
      <c r="F2" s="7" t="s">
        <v>6</v>
      </c>
      <c r="G2" s="7" t="s">
        <v>7</v>
      </c>
      <c r="H2" s="7" t="s">
        <v>8</v>
      </c>
      <c r="I2" s="7" t="s">
        <v>9</v>
      </c>
      <c r="J2" s="8" t="s">
        <v>10</v>
      </c>
      <c r="K2" s="2"/>
      <c r="L2" s="6" t="s">
        <v>4</v>
      </c>
      <c r="M2" s="7" t="s">
        <v>5</v>
      </c>
      <c r="N2" s="7" t="s">
        <v>6</v>
      </c>
      <c r="O2" s="7" t="s">
        <v>7</v>
      </c>
      <c r="P2" s="7" t="s">
        <v>8</v>
      </c>
      <c r="Q2" s="7" t="s">
        <v>9</v>
      </c>
      <c r="R2" s="8" t="s">
        <v>10</v>
      </c>
      <c r="S2" s="5" t="s">
        <v>15</v>
      </c>
      <c r="T2" s="5" t="s">
        <v>16</v>
      </c>
      <c r="U2" s="5" t="s">
        <v>68</v>
      </c>
      <c r="V2" s="6" t="s">
        <v>11</v>
      </c>
      <c r="W2" s="7" t="s">
        <v>12</v>
      </c>
      <c r="X2" s="8" t="s">
        <v>13</v>
      </c>
      <c r="Y2" s="46"/>
    </row>
    <row r="3" spans="1:25" x14ac:dyDescent="0.2">
      <c r="A3" s="9" t="s">
        <v>57</v>
      </c>
      <c r="B3" s="9" t="s">
        <v>58</v>
      </c>
      <c r="C3" s="9">
        <v>22</v>
      </c>
      <c r="D3" s="10">
        <f>Reference!B2</f>
        <v>2127.4947000000002</v>
      </c>
      <c r="E3" s="11">
        <f>Reference!C2</f>
        <v>44.933999999999997</v>
      </c>
      <c r="F3" s="11">
        <f>Reference!D2</f>
        <v>45.485599999999998</v>
      </c>
      <c r="G3" s="11">
        <f>Reference!E2</f>
        <v>45.737099999999998</v>
      </c>
      <c r="H3" s="11">
        <f>Reference!F2</f>
        <v>53519.71</v>
      </c>
      <c r="I3" s="11">
        <f>Reference!G2</f>
        <v>153.226</v>
      </c>
      <c r="J3" s="12">
        <f>H3/3600</f>
        <v>14.866586111111111</v>
      </c>
      <c r="L3" s="10">
        <f>Test!B2</f>
        <v>2127.4947000000002</v>
      </c>
      <c r="M3" s="11">
        <f>Test!C2</f>
        <v>45.286000000000001</v>
      </c>
      <c r="N3" s="11">
        <f>Test!D2</f>
        <v>46.344999999999999</v>
      </c>
      <c r="O3" s="11">
        <f>Test!E2</f>
        <v>46.813000000000002</v>
      </c>
      <c r="P3" s="11">
        <f>Test!F2</f>
        <v>53519.71</v>
      </c>
      <c r="Q3" s="11">
        <f>Test!G2</f>
        <v>632.60500000000002</v>
      </c>
      <c r="R3" s="12">
        <f>P3/3600</f>
        <v>14.866586111111111</v>
      </c>
      <c r="S3" s="11">
        <f>P3/H3</f>
        <v>1</v>
      </c>
      <c r="T3" s="11">
        <f>Q3/I3</f>
        <v>4.1285747849581664</v>
      </c>
      <c r="U3" s="40">
        <f>ABS(L3-D3)/D3</f>
        <v>0</v>
      </c>
      <c r="V3" s="26">
        <f>bdrate($D3:$D6,E3:E6,$L3:$L6,M3:M6)</f>
        <v>-8.8307126800078573E-2</v>
      </c>
      <c r="W3" s="31">
        <f>bdrate($D3:$D6,F3:F6,$L3:$L6,N3:N6)</f>
        <v>-0.27372898956194591</v>
      </c>
      <c r="X3" s="32">
        <f>bdrate($D3:$D6,G3:G6,$L3:$L6,O3:O6)</f>
        <v>-0.29437166948914595</v>
      </c>
      <c r="Y3" s="29"/>
    </row>
    <row r="4" spans="1:25" x14ac:dyDescent="0.2">
      <c r="A4" s="13"/>
      <c r="B4" s="13"/>
      <c r="C4" s="13">
        <v>27</v>
      </c>
      <c r="D4" s="14">
        <f>Reference!B3</f>
        <v>1184.1199999999999</v>
      </c>
      <c r="E4" s="15">
        <f>Reference!C3</f>
        <v>42.199300000000001</v>
      </c>
      <c r="F4" s="15">
        <f>Reference!D3</f>
        <v>43.294199999999996</v>
      </c>
      <c r="G4" s="15">
        <f>Reference!E3</f>
        <v>43.285200000000003</v>
      </c>
      <c r="H4" s="15">
        <f>Reference!F3</f>
        <v>49711.377999999997</v>
      </c>
      <c r="I4" s="15">
        <f>Reference!G3</f>
        <v>152.80799999999999</v>
      </c>
      <c r="J4" s="16">
        <f t="shared" ref="J4:J14" si="0">H4/3600</f>
        <v>13.80871611111111</v>
      </c>
      <c r="L4" s="14">
        <f>Test!B3</f>
        <v>1184.1199999999999</v>
      </c>
      <c r="M4" s="15">
        <f>Test!C3</f>
        <v>42.6477</v>
      </c>
      <c r="N4" s="15">
        <f>Test!D3</f>
        <v>44.401299999999999</v>
      </c>
      <c r="O4" s="15">
        <f>Test!E3</f>
        <v>44.673200000000001</v>
      </c>
      <c r="P4" s="15">
        <f>Test!F3</f>
        <v>49711.377999999997</v>
      </c>
      <c r="Q4" s="15">
        <f>Test!G3</f>
        <v>626.29600000000005</v>
      </c>
      <c r="R4" s="16">
        <f t="shared" ref="R4:R14" si="1">P4/3600</f>
        <v>13.80871611111111</v>
      </c>
      <c r="S4" s="15">
        <f t="shared" ref="S4:T14" si="2">P4/H4</f>
        <v>1</v>
      </c>
      <c r="T4" s="15">
        <f t="shared" si="2"/>
        <v>4.0985812261138168</v>
      </c>
      <c r="U4" s="45">
        <f t="shared" ref="U4:U37" si="3">ABS(L4-D4)/D4</f>
        <v>0</v>
      </c>
      <c r="V4" s="21"/>
      <c r="W4" s="21"/>
      <c r="X4" s="36"/>
      <c r="Y4" s="27"/>
    </row>
    <row r="5" spans="1:25" x14ac:dyDescent="0.2">
      <c r="A5" s="13"/>
      <c r="B5" s="13"/>
      <c r="C5" s="13">
        <v>32</v>
      </c>
      <c r="D5" s="14">
        <f>Reference!B4</f>
        <v>637.49869999999999</v>
      </c>
      <c r="E5" s="15">
        <f>Reference!C4</f>
        <v>39.156399999999998</v>
      </c>
      <c r="F5" s="15">
        <f>Reference!D4</f>
        <v>40.952199999999998</v>
      </c>
      <c r="G5" s="15">
        <f>Reference!E4</f>
        <v>40.542200000000001</v>
      </c>
      <c r="H5" s="15">
        <f>Reference!F4</f>
        <v>47464.154000000002</v>
      </c>
      <c r="I5" s="15">
        <f>Reference!G4</f>
        <v>144.251</v>
      </c>
      <c r="J5" s="16">
        <f t="shared" si="0"/>
        <v>13.184487222222224</v>
      </c>
      <c r="L5" s="14">
        <f>Test!B4</f>
        <v>637.49869999999999</v>
      </c>
      <c r="M5" s="15">
        <f>Test!C4</f>
        <v>39.617899999999999</v>
      </c>
      <c r="N5" s="15">
        <f>Test!D4</f>
        <v>42.097900000000003</v>
      </c>
      <c r="O5" s="15">
        <f>Test!E4</f>
        <v>41.9908</v>
      </c>
      <c r="P5" s="15">
        <f>Test!F4</f>
        <v>47464.154000000002</v>
      </c>
      <c r="Q5" s="15">
        <f>Test!G4</f>
        <v>629.99599999999998</v>
      </c>
      <c r="R5" s="16">
        <f t="shared" si="1"/>
        <v>13.184487222222224</v>
      </c>
      <c r="S5" s="15">
        <f t="shared" si="2"/>
        <v>1</v>
      </c>
      <c r="T5" s="15">
        <f t="shared" si="2"/>
        <v>4.3673596716833849</v>
      </c>
      <c r="U5" s="41">
        <f t="shared" si="3"/>
        <v>0</v>
      </c>
      <c r="V5" s="27"/>
      <c r="W5" s="21"/>
      <c r="X5" s="36"/>
      <c r="Y5" s="27"/>
    </row>
    <row r="6" spans="1:25" ht="12.75" thickBot="1" x14ac:dyDescent="0.25">
      <c r="A6" s="13"/>
      <c r="B6" s="17"/>
      <c r="C6" s="17">
        <v>37</v>
      </c>
      <c r="D6" s="18">
        <f>Reference!B5</f>
        <v>337.77330000000001</v>
      </c>
      <c r="E6" s="19">
        <f>Reference!C5</f>
        <v>36.190899999999999</v>
      </c>
      <c r="F6" s="19">
        <f>Reference!D5</f>
        <v>39.203000000000003</v>
      </c>
      <c r="G6" s="19">
        <f>Reference!E5</f>
        <v>38.436999999999998</v>
      </c>
      <c r="H6" s="19">
        <f>Reference!F5</f>
        <v>46153.023999999998</v>
      </c>
      <c r="I6" s="19">
        <f>Reference!G5</f>
        <v>139.65799999999999</v>
      </c>
      <c r="J6" s="20">
        <f t="shared" si="0"/>
        <v>12.820284444444443</v>
      </c>
      <c r="L6" s="18">
        <f>Test!B5</f>
        <v>337.77330000000001</v>
      </c>
      <c r="M6" s="19">
        <f>Test!C5</f>
        <v>36.5976</v>
      </c>
      <c r="N6" s="19">
        <f>Test!D5</f>
        <v>40.315199999999997</v>
      </c>
      <c r="O6" s="19">
        <f>Test!E5</f>
        <v>39.9</v>
      </c>
      <c r="P6" s="19">
        <f>Test!F5</f>
        <v>46153.023999999998</v>
      </c>
      <c r="Q6" s="19">
        <f>Test!G5</f>
        <v>613.49</v>
      </c>
      <c r="R6" s="20">
        <f t="shared" si="1"/>
        <v>12.820284444444443</v>
      </c>
      <c r="S6" s="15">
        <f t="shared" si="2"/>
        <v>1</v>
      </c>
      <c r="T6" s="15">
        <f t="shared" si="2"/>
        <v>4.3928024173337734</v>
      </c>
      <c r="U6" s="41">
        <f t="shared" si="3"/>
        <v>0</v>
      </c>
      <c r="V6" s="28"/>
      <c r="W6" s="37"/>
      <c r="X6" s="38"/>
      <c r="Y6" s="27"/>
    </row>
    <row r="7" spans="1:25" x14ac:dyDescent="0.2">
      <c r="A7" s="13"/>
      <c r="B7" s="9" t="s">
        <v>60</v>
      </c>
      <c r="C7" s="9">
        <v>22</v>
      </c>
      <c r="D7" s="10">
        <f>Reference!B6</f>
        <v>21296.847300000001</v>
      </c>
      <c r="E7" s="11">
        <f>Reference!C6</f>
        <v>39.582799999999999</v>
      </c>
      <c r="F7" s="11">
        <f>Reference!D6</f>
        <v>50.816800000000001</v>
      </c>
      <c r="G7" s="11">
        <f>Reference!E6</f>
        <v>49.579900000000002</v>
      </c>
      <c r="H7" s="11">
        <f>Reference!F6</f>
        <v>152644.73000000001</v>
      </c>
      <c r="I7" s="11">
        <f>Reference!G6</f>
        <v>538.49900000000002</v>
      </c>
      <c r="J7" s="12">
        <f t="shared" si="0"/>
        <v>42.401313888888893</v>
      </c>
      <c r="L7" s="10">
        <f>Test!B6</f>
        <v>21296.847300000001</v>
      </c>
      <c r="M7" s="11">
        <f>Test!C6</f>
        <v>39.6935</v>
      </c>
      <c r="N7" s="11">
        <f>Test!D6</f>
        <v>50.961799999999997</v>
      </c>
      <c r="O7" s="11">
        <f>Test!E6</f>
        <v>49.570900000000002</v>
      </c>
      <c r="P7" s="11">
        <f>Test!F6</f>
        <v>152644.73000000001</v>
      </c>
      <c r="Q7" s="11">
        <f>Test!G6</f>
        <v>1033.3910000000001</v>
      </c>
      <c r="R7" s="12">
        <f t="shared" si="1"/>
        <v>42.401313888888893</v>
      </c>
      <c r="S7" s="15">
        <f t="shared" si="2"/>
        <v>1</v>
      </c>
      <c r="T7" s="15">
        <f t="shared" si="2"/>
        <v>1.919021205239007</v>
      </c>
      <c r="U7" s="41">
        <f>ABS(L7-D7)/D7</f>
        <v>0</v>
      </c>
      <c r="V7" s="26">
        <f>bdrate($D7:$D10,E7:E10,$L7:$L10,M7:M10)</f>
        <v>-3.8567572543996342E-2</v>
      </c>
      <c r="W7" s="31">
        <f>bdrate($D7:$D10,F7:F10,$L7:$L10,N7:N10)</f>
        <v>-0.14040386294702023</v>
      </c>
      <c r="X7" s="31">
        <f>bdrate($D7:$D10,G7:G10,$L7:$L10,O7:O10)</f>
        <v>-9.9437004353632896E-2</v>
      </c>
      <c r="Y7" s="29"/>
    </row>
    <row r="8" spans="1:25" x14ac:dyDescent="0.2">
      <c r="A8" s="13"/>
      <c r="B8" s="13"/>
      <c r="C8" s="13">
        <v>27</v>
      </c>
      <c r="D8" s="14">
        <f>Reference!B7</f>
        <v>8518.3273000000008</v>
      </c>
      <c r="E8" s="15">
        <f>Reference!C7</f>
        <v>35.076099999999997</v>
      </c>
      <c r="F8" s="15">
        <f>Reference!D7</f>
        <v>48.473999999999997</v>
      </c>
      <c r="G8" s="15">
        <f>Reference!E7</f>
        <v>47.180799999999998</v>
      </c>
      <c r="H8" s="15">
        <f>Reference!F7</f>
        <v>118771.8</v>
      </c>
      <c r="I8" s="15">
        <f>Reference!G7</f>
        <v>368.18799999999999</v>
      </c>
      <c r="J8" s="16">
        <f t="shared" si="0"/>
        <v>32.99216666666667</v>
      </c>
      <c r="L8" s="14">
        <f>Test!B7</f>
        <v>8518.3273000000008</v>
      </c>
      <c r="M8" s="15">
        <f>Test!C7</f>
        <v>35.22</v>
      </c>
      <c r="N8" s="15">
        <f>Test!D7</f>
        <v>48.7958</v>
      </c>
      <c r="O8" s="15">
        <f>Test!E7</f>
        <v>47.451799999999999</v>
      </c>
      <c r="P8" s="15">
        <f>Test!F7</f>
        <v>118771.8</v>
      </c>
      <c r="Q8" s="15">
        <f>Test!G7</f>
        <v>862.42200000000003</v>
      </c>
      <c r="R8" s="16">
        <f t="shared" si="1"/>
        <v>32.99216666666667</v>
      </c>
      <c r="S8" s="15">
        <f t="shared" si="2"/>
        <v>1</v>
      </c>
      <c r="T8" s="15">
        <f t="shared" si="2"/>
        <v>2.3423414125392465</v>
      </c>
      <c r="U8" s="41">
        <f t="shared" si="3"/>
        <v>0</v>
      </c>
      <c r="V8" s="27"/>
      <c r="W8" s="21"/>
      <c r="X8" s="21"/>
      <c r="Y8" s="27"/>
    </row>
    <row r="9" spans="1:25" x14ac:dyDescent="0.2">
      <c r="A9" s="13"/>
      <c r="B9" s="13"/>
      <c r="C9" s="13">
        <v>32</v>
      </c>
      <c r="D9" s="14">
        <f>Reference!B8</f>
        <v>3673.732</v>
      </c>
      <c r="E9" s="15">
        <f>Reference!C8</f>
        <v>32.130400000000002</v>
      </c>
      <c r="F9" s="15">
        <f>Reference!D8</f>
        <v>46.865400000000001</v>
      </c>
      <c r="G9" s="15">
        <f>Reference!E8</f>
        <v>45.434800000000003</v>
      </c>
      <c r="H9" s="15">
        <f>Reference!F8</f>
        <v>93291.293000000005</v>
      </c>
      <c r="I9" s="15">
        <f>Reference!G8</f>
        <v>269.399</v>
      </c>
      <c r="J9" s="16">
        <f t="shared" si="0"/>
        <v>25.914248055555557</v>
      </c>
      <c r="L9" s="14">
        <f>Test!B8</f>
        <v>3673.732</v>
      </c>
      <c r="M9" s="15">
        <f>Test!C8</f>
        <v>32.310299999999998</v>
      </c>
      <c r="N9" s="15">
        <f>Test!D8</f>
        <v>47.177199999999999</v>
      </c>
      <c r="O9" s="15">
        <f>Test!E8</f>
        <v>45.654299999999999</v>
      </c>
      <c r="P9" s="15">
        <f>Test!F8</f>
        <v>93291.293000000005</v>
      </c>
      <c r="Q9" s="15">
        <f>Test!G8</f>
        <v>754.74599999999998</v>
      </c>
      <c r="R9" s="16">
        <f t="shared" si="1"/>
        <v>25.914248055555557</v>
      </c>
      <c r="S9" s="15">
        <f t="shared" si="2"/>
        <v>1</v>
      </c>
      <c r="T9" s="15">
        <f t="shared" si="2"/>
        <v>2.801591691134711</v>
      </c>
      <c r="U9" s="41">
        <f t="shared" si="3"/>
        <v>0</v>
      </c>
      <c r="V9" s="27"/>
      <c r="W9" s="21"/>
      <c r="X9" s="21"/>
      <c r="Y9" s="27"/>
    </row>
    <row r="10" spans="1:25" ht="12.75" thickBot="1" x14ac:dyDescent="0.25">
      <c r="A10" s="13"/>
      <c r="B10" s="17"/>
      <c r="C10" s="17">
        <v>37</v>
      </c>
      <c r="D10" s="18">
        <f>Reference!B9</f>
        <v>1672.5646999999999</v>
      </c>
      <c r="E10" s="19">
        <f>Reference!C9</f>
        <v>29.4968</v>
      </c>
      <c r="F10" s="19">
        <f>Reference!D9</f>
        <v>45.5533</v>
      </c>
      <c r="G10" s="19">
        <f>Reference!E9</f>
        <v>44.0822</v>
      </c>
      <c r="H10" s="19">
        <f>Reference!F9</f>
        <v>77493.782000000007</v>
      </c>
      <c r="I10" s="19">
        <f>Reference!G9</f>
        <v>214.67</v>
      </c>
      <c r="J10" s="20">
        <f t="shared" si="0"/>
        <v>21.526050555555557</v>
      </c>
      <c r="L10" s="18">
        <f>Test!B9</f>
        <v>1672.5646999999999</v>
      </c>
      <c r="M10" s="19">
        <f>Test!C9</f>
        <v>29.674199999999999</v>
      </c>
      <c r="N10" s="19">
        <f>Test!D9</f>
        <v>46.006799999999998</v>
      </c>
      <c r="O10" s="19">
        <f>Test!E9</f>
        <v>44.414099999999998</v>
      </c>
      <c r="P10" s="19">
        <f>Test!F9</f>
        <v>77493.782000000007</v>
      </c>
      <c r="Q10" s="19">
        <f>Test!G9</f>
        <v>711.86500000000001</v>
      </c>
      <c r="R10" s="20">
        <f t="shared" si="1"/>
        <v>21.526050555555557</v>
      </c>
      <c r="S10" s="15">
        <f t="shared" si="2"/>
        <v>1</v>
      </c>
      <c r="T10" s="15">
        <f t="shared" si="2"/>
        <v>3.316089812269996</v>
      </c>
      <c r="U10" s="41">
        <f t="shared" si="3"/>
        <v>0</v>
      </c>
      <c r="V10" s="28"/>
      <c r="W10" s="37"/>
      <c r="X10" s="37"/>
      <c r="Y10" s="27"/>
    </row>
    <row r="11" spans="1:25" x14ac:dyDescent="0.2">
      <c r="A11" s="23"/>
      <c r="B11" s="9" t="s">
        <v>61</v>
      </c>
      <c r="C11" s="22">
        <v>22</v>
      </c>
      <c r="D11" s="10">
        <f>Reference!B10</f>
        <v>7736.5240000000003</v>
      </c>
      <c r="E11" s="11">
        <f>Reference!C10</f>
        <v>40.708799999999997</v>
      </c>
      <c r="F11" s="11">
        <f>Reference!D10</f>
        <v>50.743899999999996</v>
      </c>
      <c r="G11" s="11">
        <f>Reference!E10</f>
        <v>50.633299999999998</v>
      </c>
      <c r="H11" s="11">
        <f>Reference!F10</f>
        <v>94197.630999999994</v>
      </c>
      <c r="I11" s="11">
        <f>Reference!G10</f>
        <v>309.01799999999997</v>
      </c>
      <c r="J11" s="12">
        <f t="shared" si="0"/>
        <v>26.16600861111111</v>
      </c>
      <c r="L11" s="10">
        <f>Test!B10</f>
        <v>7736.5240000000003</v>
      </c>
      <c r="M11" s="11">
        <f>Test!C10</f>
        <v>40.869599999999998</v>
      </c>
      <c r="N11" s="11">
        <f>Test!D10</f>
        <v>50.887999999999998</v>
      </c>
      <c r="O11" s="11">
        <f>Test!E10</f>
        <v>50.855400000000003</v>
      </c>
      <c r="P11" s="11">
        <f>Test!F10</f>
        <v>94197.630999999994</v>
      </c>
      <c r="Q11" s="11">
        <f>Test!G10</f>
        <v>789.38599999999997</v>
      </c>
      <c r="R11" s="12">
        <f t="shared" si="1"/>
        <v>26.16600861111111</v>
      </c>
      <c r="S11" s="15">
        <f t="shared" si="2"/>
        <v>1</v>
      </c>
      <c r="T11" s="15">
        <f t="shared" si="2"/>
        <v>2.5544984434563682</v>
      </c>
      <c r="U11" s="45">
        <f t="shared" si="3"/>
        <v>0</v>
      </c>
      <c r="V11" s="31">
        <f>bdrate($D11:$D14,E11:E14,$L11:$L14,M11:M14)</f>
        <v>-5.3881215150277217E-2</v>
      </c>
      <c r="W11" s="31">
        <f>bdrate($D11:$D14,F11:F14,$L11:$L14,N11:N14)</f>
        <v>-0.21099113684150816</v>
      </c>
      <c r="X11" s="31">
        <f>bdrate($D11:$D14,G11:G14,$L11:$L14,O11:O14)</f>
        <v>-0.18127006963317538</v>
      </c>
      <c r="Y11" s="29"/>
    </row>
    <row r="12" spans="1:25" x14ac:dyDescent="0.2">
      <c r="A12" s="23"/>
      <c r="B12" s="23"/>
      <c r="C12" s="23">
        <v>27</v>
      </c>
      <c r="D12" s="14">
        <f>Reference!B11</f>
        <v>2941.2312999999999</v>
      </c>
      <c r="E12" s="15">
        <f>Reference!C11</f>
        <v>37.666200000000003</v>
      </c>
      <c r="F12" s="15">
        <f>Reference!D11</f>
        <v>48.846600000000002</v>
      </c>
      <c r="G12" s="15">
        <f>Reference!E11</f>
        <v>48.695</v>
      </c>
      <c r="H12" s="15">
        <f>Reference!F11</f>
        <v>71488.502999999997</v>
      </c>
      <c r="I12" s="15">
        <f>Reference!G11</f>
        <v>215.47499999999999</v>
      </c>
      <c r="J12" s="16">
        <f t="shared" si="0"/>
        <v>19.857917499999999</v>
      </c>
      <c r="L12" s="14">
        <f>Test!B11</f>
        <v>2941.2312999999999</v>
      </c>
      <c r="M12" s="15">
        <f>Test!C11</f>
        <v>37.822800000000001</v>
      </c>
      <c r="N12" s="15">
        <f>Test!D11</f>
        <v>49.301600000000001</v>
      </c>
      <c r="O12" s="15">
        <f>Test!E11</f>
        <v>49.139400000000002</v>
      </c>
      <c r="P12" s="15">
        <f>Test!F11</f>
        <v>71488.502999999997</v>
      </c>
      <c r="Q12" s="15">
        <f>Test!G11</f>
        <v>712.33899999999994</v>
      </c>
      <c r="R12" s="16">
        <f t="shared" si="1"/>
        <v>19.857917499999999</v>
      </c>
      <c r="S12" s="15">
        <f t="shared" si="2"/>
        <v>1</v>
      </c>
      <c r="T12" s="15">
        <f t="shared" si="2"/>
        <v>3.3059009165796494</v>
      </c>
      <c r="U12" s="45">
        <f t="shared" si="3"/>
        <v>0</v>
      </c>
      <c r="V12" s="21"/>
      <c r="W12" s="21"/>
      <c r="X12" s="21"/>
      <c r="Y12" s="27"/>
    </row>
    <row r="13" spans="1:25" x14ac:dyDescent="0.2">
      <c r="A13" s="23"/>
      <c r="B13" s="23"/>
      <c r="C13" s="23">
        <v>32</v>
      </c>
      <c r="D13" s="14">
        <f>Reference!B12</f>
        <v>1309.174</v>
      </c>
      <c r="E13" s="15">
        <f>Reference!C12</f>
        <v>35.185099999999998</v>
      </c>
      <c r="F13" s="15">
        <f>Reference!D12</f>
        <v>46.848700000000001</v>
      </c>
      <c r="G13" s="15">
        <f>Reference!E12</f>
        <v>46.6843</v>
      </c>
      <c r="H13" s="15">
        <f>Reference!F12</f>
        <v>62237.9</v>
      </c>
      <c r="I13" s="15">
        <f>Reference!G12</f>
        <v>182.5</v>
      </c>
      <c r="J13" s="16">
        <f t="shared" si="0"/>
        <v>17.288305555555556</v>
      </c>
      <c r="L13" s="14">
        <f>Test!B12</f>
        <v>1309.174</v>
      </c>
      <c r="M13" s="15">
        <f>Test!C12</f>
        <v>35.369599999999998</v>
      </c>
      <c r="N13" s="15">
        <f>Test!D12</f>
        <v>47.457299999999996</v>
      </c>
      <c r="O13" s="15">
        <f>Test!E12</f>
        <v>47.135599999999997</v>
      </c>
      <c r="P13" s="15">
        <f>Test!F12</f>
        <v>62237.9</v>
      </c>
      <c r="Q13" s="15">
        <f>Test!G12</f>
        <v>672.82100000000003</v>
      </c>
      <c r="R13" s="16">
        <f t="shared" si="1"/>
        <v>17.288305555555556</v>
      </c>
      <c r="S13" s="15">
        <f t="shared" si="2"/>
        <v>1</v>
      </c>
      <c r="T13" s="15">
        <f t="shared" si="2"/>
        <v>3.6866904109589043</v>
      </c>
      <c r="U13" s="41">
        <f t="shared" si="3"/>
        <v>0</v>
      </c>
      <c r="V13" s="27"/>
      <c r="W13" s="21"/>
      <c r="X13" s="21"/>
      <c r="Y13" s="27"/>
    </row>
    <row r="14" spans="1:25" ht="12.75" thickBot="1" x14ac:dyDescent="0.25">
      <c r="A14" s="23"/>
      <c r="B14" s="24"/>
      <c r="C14" s="24">
        <v>37</v>
      </c>
      <c r="D14" s="18">
        <f>Reference!B13</f>
        <v>592.91729999999995</v>
      </c>
      <c r="E14" s="19">
        <f>Reference!C13</f>
        <v>32.833500000000001</v>
      </c>
      <c r="F14" s="19">
        <f>Reference!D13</f>
        <v>45.189</v>
      </c>
      <c r="G14" s="19">
        <f>Reference!E13</f>
        <v>44.887999999999998</v>
      </c>
      <c r="H14" s="19">
        <f>Reference!F13</f>
        <v>57229.548999999999</v>
      </c>
      <c r="I14" s="19">
        <f>Reference!G13</f>
        <v>167.38200000000001</v>
      </c>
      <c r="J14" s="20">
        <f t="shared" si="0"/>
        <v>15.897096944444444</v>
      </c>
      <c r="L14" s="18">
        <f>Test!B13</f>
        <v>592.91729999999995</v>
      </c>
      <c r="M14" s="19">
        <f>Test!C13</f>
        <v>33.017600000000002</v>
      </c>
      <c r="N14" s="19">
        <f>Test!D13</f>
        <v>46.061300000000003</v>
      </c>
      <c r="O14" s="19">
        <f>Test!E13</f>
        <v>45.583500000000001</v>
      </c>
      <c r="P14" s="19">
        <f>Test!F13</f>
        <v>57229.548999999999</v>
      </c>
      <c r="Q14" s="19">
        <f>Test!G13</f>
        <v>651.92900000000009</v>
      </c>
      <c r="R14" s="20">
        <f t="shared" si="1"/>
        <v>15.897096944444444</v>
      </c>
      <c r="S14" s="14">
        <f t="shared" si="2"/>
        <v>1</v>
      </c>
      <c r="T14" s="15">
        <f t="shared" si="2"/>
        <v>3.8948572725860608</v>
      </c>
      <c r="U14" s="45">
        <f t="shared" si="3"/>
        <v>0</v>
      </c>
      <c r="V14" s="28"/>
      <c r="W14" s="37"/>
      <c r="X14" s="37"/>
      <c r="Y14" s="27"/>
    </row>
    <row r="15" spans="1:25" x14ac:dyDescent="0.2">
      <c r="A15" s="13"/>
      <c r="B15" s="9" t="s">
        <v>62</v>
      </c>
      <c r="C15" s="9">
        <v>22</v>
      </c>
      <c r="D15" s="10">
        <f>Reference!B14</f>
        <v>4803.2658000000001</v>
      </c>
      <c r="E15" s="11">
        <f>Reference!C14</f>
        <v>41.581400000000002</v>
      </c>
      <c r="F15" s="11">
        <f>Reference!D14</f>
        <v>43.396500000000003</v>
      </c>
      <c r="G15" s="11">
        <f>Reference!E14</f>
        <v>45.296100000000003</v>
      </c>
      <c r="H15" s="11">
        <f>Reference!F14</f>
        <v>91015.456999999995</v>
      </c>
      <c r="I15" s="11">
        <f>Reference!G14</f>
        <v>276.92500000000001</v>
      </c>
      <c r="J15" s="12">
        <f>H15/3600</f>
        <v>25.282071388888887</v>
      </c>
      <c r="L15" s="10">
        <f>Test!B14</f>
        <v>4803.2658000000001</v>
      </c>
      <c r="M15" s="11">
        <f>Test!C14</f>
        <v>41.720500000000001</v>
      </c>
      <c r="N15" s="11">
        <f>Test!D14</f>
        <v>43.722499999999997</v>
      </c>
      <c r="O15" s="11">
        <f>Test!E14</f>
        <v>45.543599999999998</v>
      </c>
      <c r="P15" s="11">
        <f>Test!F14</f>
        <v>91015.456999999995</v>
      </c>
      <c r="Q15" s="11">
        <f>Test!G14</f>
        <v>670.6690000000001</v>
      </c>
      <c r="R15" s="12">
        <f>P15/3600</f>
        <v>25.282071388888887</v>
      </c>
      <c r="S15" s="15">
        <f>P15/H15</f>
        <v>1</v>
      </c>
      <c r="T15" s="15">
        <f>Q15/I15</f>
        <v>2.4218434594204208</v>
      </c>
      <c r="U15" s="41">
        <f>ABS(L15-D15)/D15</f>
        <v>0</v>
      </c>
      <c r="V15" s="26">
        <f>bdrate($D15:$D18,E15:E18,$L15:$L18,M15:M18)</f>
        <v>-4.7998279407616695E-2</v>
      </c>
      <c r="W15" s="31">
        <f>bdrate($D15:$D18,F15:F18,$L15:$L18,N15:N18)</f>
        <v>-0.28802407812092612</v>
      </c>
      <c r="X15" s="32">
        <f>bdrate($D15:$D18,G15:G18,$L15:$L18,O15:O18)</f>
        <v>-0.13283095099370157</v>
      </c>
      <c r="Y15" s="29"/>
    </row>
    <row r="16" spans="1:25" x14ac:dyDescent="0.2">
      <c r="A16" s="13"/>
      <c r="B16" s="13"/>
      <c r="C16" s="13">
        <v>27</v>
      </c>
      <c r="D16" s="14">
        <f>Reference!B15</f>
        <v>2085.0100000000002</v>
      </c>
      <c r="E16" s="15">
        <f>Reference!C15</f>
        <v>39.680700000000002</v>
      </c>
      <c r="F16" s="15">
        <f>Reference!D15</f>
        <v>42.164200000000001</v>
      </c>
      <c r="G16" s="15">
        <f>Reference!E15</f>
        <v>43.58</v>
      </c>
      <c r="H16" s="15">
        <f>Reference!F15</f>
        <v>76287.716</v>
      </c>
      <c r="I16" s="15">
        <f>Reference!G15</f>
        <v>210.13499999999999</v>
      </c>
      <c r="J16" s="16">
        <f t="shared" ref="J16:J26" si="4">H16/3600</f>
        <v>21.191032222222223</v>
      </c>
      <c r="L16" s="14">
        <f>Test!B15</f>
        <v>2085.0100000000002</v>
      </c>
      <c r="M16" s="15">
        <f>Test!C15</f>
        <v>39.821199999999997</v>
      </c>
      <c r="N16" s="15">
        <f>Test!D15</f>
        <v>42.65</v>
      </c>
      <c r="O16" s="15">
        <f>Test!E15</f>
        <v>43.854399999999998</v>
      </c>
      <c r="P16" s="15">
        <f>Test!F15</f>
        <v>76287.716</v>
      </c>
      <c r="Q16" s="15">
        <f>Test!G15</f>
        <v>591.83199999999999</v>
      </c>
      <c r="R16" s="16">
        <f t="shared" ref="R16:R26" si="5">P16/3600</f>
        <v>21.191032222222223</v>
      </c>
      <c r="S16" s="15">
        <f t="shared" ref="S16:S26" si="6">P16/H16</f>
        <v>1</v>
      </c>
      <c r="T16" s="15">
        <f t="shared" ref="T16:T26" si="7">Q16/I16</f>
        <v>2.8164370523710947</v>
      </c>
      <c r="U16" s="41">
        <f t="shared" si="3"/>
        <v>0</v>
      </c>
      <c r="V16" s="27"/>
      <c r="W16" s="21"/>
      <c r="X16" s="36"/>
      <c r="Y16" s="27"/>
    </row>
    <row r="17" spans="1:25" x14ac:dyDescent="0.2">
      <c r="A17" s="13"/>
      <c r="B17" s="13"/>
      <c r="C17" s="13">
        <v>32</v>
      </c>
      <c r="D17" s="14">
        <f>Reference!B16</f>
        <v>1019.41</v>
      </c>
      <c r="E17" s="15">
        <f>Reference!C16</f>
        <v>37.397599999999997</v>
      </c>
      <c r="F17" s="15">
        <f>Reference!D16</f>
        <v>40.966999999999999</v>
      </c>
      <c r="G17" s="15">
        <f>Reference!E16</f>
        <v>42.124499999999998</v>
      </c>
      <c r="H17" s="15">
        <f>Reference!F16</f>
        <v>66893.682000000001</v>
      </c>
      <c r="I17" s="15">
        <f>Reference!G16</f>
        <v>169.923</v>
      </c>
      <c r="J17" s="16">
        <f t="shared" si="4"/>
        <v>18.581578333333333</v>
      </c>
      <c r="L17" s="14">
        <f>Test!B16</f>
        <v>1019.41</v>
      </c>
      <c r="M17" s="15">
        <f>Test!C16</f>
        <v>37.551200000000001</v>
      </c>
      <c r="N17" s="15">
        <f>Test!D16</f>
        <v>41.526299999999999</v>
      </c>
      <c r="O17" s="15">
        <f>Test!E16</f>
        <v>42.3887</v>
      </c>
      <c r="P17" s="15">
        <f>Test!F16</f>
        <v>66893.682000000001</v>
      </c>
      <c r="Q17" s="15">
        <f>Test!G16</f>
        <v>556.10699999999997</v>
      </c>
      <c r="R17" s="16">
        <f t="shared" si="5"/>
        <v>18.581578333333333</v>
      </c>
      <c r="S17" s="15">
        <f t="shared" si="6"/>
        <v>1</v>
      </c>
      <c r="T17" s="15">
        <f t="shared" si="7"/>
        <v>3.2726999876414609</v>
      </c>
      <c r="U17" s="41">
        <f t="shared" si="3"/>
        <v>0</v>
      </c>
      <c r="V17" s="27"/>
      <c r="W17" s="21"/>
      <c r="X17" s="36"/>
      <c r="Y17" s="27"/>
    </row>
    <row r="18" spans="1:25" ht="12.75" thickBot="1" x14ac:dyDescent="0.25">
      <c r="A18" s="13"/>
      <c r="B18" s="17"/>
      <c r="C18" s="17">
        <v>37</v>
      </c>
      <c r="D18" s="18">
        <f>Reference!B17</f>
        <v>499.70420000000001</v>
      </c>
      <c r="E18" s="19">
        <f>Reference!C17</f>
        <v>34.905999999999999</v>
      </c>
      <c r="F18" s="19">
        <f>Reference!D17</f>
        <v>39.929900000000004</v>
      </c>
      <c r="G18" s="19">
        <f>Reference!E17</f>
        <v>41.145099999999999</v>
      </c>
      <c r="H18" s="19">
        <f>Reference!F17</f>
        <v>58780.375</v>
      </c>
      <c r="I18" s="19">
        <f>Reference!G17</f>
        <v>145.536</v>
      </c>
      <c r="J18" s="20">
        <f t="shared" si="4"/>
        <v>16.327881944444446</v>
      </c>
      <c r="L18" s="18">
        <f>Test!B17</f>
        <v>499.70420000000001</v>
      </c>
      <c r="M18" s="19">
        <f>Test!C17</f>
        <v>35.048699999999997</v>
      </c>
      <c r="N18" s="19">
        <f>Test!D17</f>
        <v>40.602400000000003</v>
      </c>
      <c r="O18" s="19">
        <f>Test!E17</f>
        <v>41.389699999999998</v>
      </c>
      <c r="P18" s="19">
        <f>Test!F17</f>
        <v>58780.375</v>
      </c>
      <c r="Q18" s="19">
        <f>Test!G17</f>
        <v>537.83300000000008</v>
      </c>
      <c r="R18" s="20">
        <f t="shared" si="5"/>
        <v>16.327881944444446</v>
      </c>
      <c r="S18" s="15">
        <f t="shared" si="6"/>
        <v>1</v>
      </c>
      <c r="T18" s="15">
        <f t="shared" si="7"/>
        <v>3.6955323768689539</v>
      </c>
      <c r="U18" s="41">
        <f t="shared" si="3"/>
        <v>0</v>
      </c>
      <c r="V18" s="28"/>
      <c r="W18" s="37"/>
      <c r="X18" s="38"/>
      <c r="Y18" s="27"/>
    </row>
    <row r="19" spans="1:25" x14ac:dyDescent="0.2">
      <c r="A19" s="13"/>
      <c r="B19" s="9" t="s">
        <v>59</v>
      </c>
      <c r="C19" s="9">
        <v>22</v>
      </c>
      <c r="D19" s="10">
        <f>Reference!B18</f>
        <v>10079.838400000001</v>
      </c>
      <c r="E19" s="11">
        <f>Reference!C18</f>
        <v>39.036700000000003</v>
      </c>
      <c r="F19" s="11">
        <f>Reference!D18</f>
        <v>43.530200000000001</v>
      </c>
      <c r="G19" s="11">
        <f>Reference!E18</f>
        <v>44.630299999999998</v>
      </c>
      <c r="H19" s="11">
        <f>Reference!F18</f>
        <v>128312.34699999999</v>
      </c>
      <c r="I19" s="11">
        <f>Reference!G18</f>
        <v>356.00799999999998</v>
      </c>
      <c r="J19" s="12">
        <f t="shared" si="4"/>
        <v>35.642318611111108</v>
      </c>
      <c r="L19" s="10">
        <f>Test!B18</f>
        <v>10079.838400000001</v>
      </c>
      <c r="M19" s="11">
        <f>Test!C18</f>
        <v>39.151499999999999</v>
      </c>
      <c r="N19" s="11">
        <f>Test!D18</f>
        <v>43.872700000000002</v>
      </c>
      <c r="O19" s="11">
        <f>Test!E18</f>
        <v>45.2502</v>
      </c>
      <c r="P19" s="11">
        <f>Test!F18</f>
        <v>128312.34699999999</v>
      </c>
      <c r="Q19" s="11">
        <f>Test!G18</f>
        <v>752.05399999999997</v>
      </c>
      <c r="R19" s="12">
        <f t="shared" si="5"/>
        <v>35.642318611111108</v>
      </c>
      <c r="S19" s="15">
        <f t="shared" si="6"/>
        <v>1</v>
      </c>
      <c r="T19" s="15">
        <f t="shared" si="7"/>
        <v>2.1124637648592168</v>
      </c>
      <c r="U19" s="41">
        <f t="shared" si="3"/>
        <v>0</v>
      </c>
      <c r="V19" s="26">
        <f>bdrate($D19:$D22,E19:E22,$L19:$L22,M19:M22)</f>
        <v>-7.4375859904260988E-2</v>
      </c>
      <c r="W19" s="31">
        <f>bdrate($D19:$D22,F19:F22,$L19:$L22,N19:N22)</f>
        <v>-0.31165795808007457</v>
      </c>
      <c r="X19" s="31">
        <f>bdrate($D19:$D22,G19:G22,$L19:$L22,O19:O22)</f>
        <v>-0.31914648087523023</v>
      </c>
      <c r="Y19" s="29"/>
    </row>
    <row r="20" spans="1:25" x14ac:dyDescent="0.2">
      <c r="A20" s="13"/>
      <c r="B20" s="13"/>
      <c r="C20" s="13">
        <v>27</v>
      </c>
      <c r="D20" s="14">
        <f>Reference!B19</f>
        <v>3659.3872000000001</v>
      </c>
      <c r="E20" s="15">
        <f>Reference!C19</f>
        <v>37.177799999999998</v>
      </c>
      <c r="F20" s="15">
        <f>Reference!D19</f>
        <v>42.277200000000001</v>
      </c>
      <c r="G20" s="15">
        <f>Reference!E19</f>
        <v>42.668300000000002</v>
      </c>
      <c r="H20" s="15">
        <f>Reference!F19</f>
        <v>105672.515</v>
      </c>
      <c r="I20" s="15">
        <f>Reference!G19</f>
        <v>267.57499999999999</v>
      </c>
      <c r="J20" s="16">
        <f t="shared" si="4"/>
        <v>29.35347638888889</v>
      </c>
      <c r="L20" s="14">
        <f>Test!B19</f>
        <v>3659.3872000000001</v>
      </c>
      <c r="M20" s="15">
        <f>Test!C19</f>
        <v>37.352899999999998</v>
      </c>
      <c r="N20" s="15">
        <f>Test!D19</f>
        <v>42.820099999999996</v>
      </c>
      <c r="O20" s="15">
        <f>Test!E19</f>
        <v>43.466200000000001</v>
      </c>
      <c r="P20" s="15">
        <f>Test!F19</f>
        <v>105672.515</v>
      </c>
      <c r="Q20" s="15">
        <f>Test!G19</f>
        <v>672.18499999999995</v>
      </c>
      <c r="R20" s="16">
        <f t="shared" si="5"/>
        <v>29.35347638888889</v>
      </c>
      <c r="S20" s="15">
        <f t="shared" si="6"/>
        <v>1</v>
      </c>
      <c r="T20" s="15">
        <f t="shared" si="7"/>
        <v>2.5121367840792299</v>
      </c>
      <c r="U20" s="41">
        <f t="shared" si="3"/>
        <v>0</v>
      </c>
      <c r="V20" s="27"/>
      <c r="W20" s="21"/>
      <c r="X20" s="21"/>
      <c r="Y20" s="27"/>
    </row>
    <row r="21" spans="1:25" x14ac:dyDescent="0.2">
      <c r="A21" s="13"/>
      <c r="B21" s="13"/>
      <c r="C21" s="13">
        <v>32</v>
      </c>
      <c r="D21" s="14">
        <f>Reference!B20</f>
        <v>1790.7384</v>
      </c>
      <c r="E21" s="15">
        <f>Reference!C20</f>
        <v>35.2485</v>
      </c>
      <c r="F21" s="15">
        <f>Reference!D20</f>
        <v>41.128100000000003</v>
      </c>
      <c r="G21" s="15">
        <f>Reference!E20</f>
        <v>41.102800000000002</v>
      </c>
      <c r="H21" s="15">
        <f>Reference!F20</f>
        <v>91607.944000000003</v>
      </c>
      <c r="I21" s="15">
        <f>Reference!G20</f>
        <v>204.24</v>
      </c>
      <c r="J21" s="16">
        <f t="shared" si="4"/>
        <v>25.446651111111112</v>
      </c>
      <c r="L21" s="14">
        <f>Test!B20</f>
        <v>1790.7384</v>
      </c>
      <c r="M21" s="15">
        <f>Test!C20</f>
        <v>35.481999999999999</v>
      </c>
      <c r="N21" s="15">
        <f>Test!D20</f>
        <v>41.748699999999999</v>
      </c>
      <c r="O21" s="15">
        <f>Test!E20</f>
        <v>41.957000000000001</v>
      </c>
      <c r="P21" s="15">
        <f>Test!F20</f>
        <v>91607.944000000003</v>
      </c>
      <c r="Q21" s="15">
        <f>Test!G20</f>
        <v>611.68299999999999</v>
      </c>
      <c r="R21" s="16">
        <f t="shared" si="5"/>
        <v>25.446651111111112</v>
      </c>
      <c r="S21" s="15">
        <f t="shared" si="6"/>
        <v>1</v>
      </c>
      <c r="T21" s="15">
        <f t="shared" si="7"/>
        <v>2.9949226400313353</v>
      </c>
      <c r="U21" s="41">
        <f t="shared" si="3"/>
        <v>0</v>
      </c>
      <c r="V21" s="27"/>
      <c r="W21" s="21"/>
      <c r="X21" s="21"/>
      <c r="Y21" s="27"/>
    </row>
    <row r="22" spans="1:25" ht="12.75" thickBot="1" x14ac:dyDescent="0.25">
      <c r="A22" s="13"/>
      <c r="B22" s="17"/>
      <c r="C22" s="17">
        <v>37</v>
      </c>
      <c r="D22" s="18">
        <f>Reference!B21</f>
        <v>929.18640000000005</v>
      </c>
      <c r="E22" s="19">
        <f>Reference!C21</f>
        <v>33.083300000000001</v>
      </c>
      <c r="F22" s="19">
        <f>Reference!D21</f>
        <v>39.960700000000003</v>
      </c>
      <c r="G22" s="19">
        <f>Reference!E21</f>
        <v>39.539099999999998</v>
      </c>
      <c r="H22" s="19">
        <f>Reference!F21</f>
        <v>78994.553</v>
      </c>
      <c r="I22" s="19">
        <f>Reference!G21</f>
        <v>164.18100000000001</v>
      </c>
      <c r="J22" s="20">
        <f t="shared" si="4"/>
        <v>21.942931388888891</v>
      </c>
      <c r="L22" s="18">
        <f>Test!B21</f>
        <v>929.18640000000005</v>
      </c>
      <c r="M22" s="19">
        <f>Test!C21</f>
        <v>33.333599999999997</v>
      </c>
      <c r="N22" s="19">
        <f>Test!D21</f>
        <v>40.526800000000001</v>
      </c>
      <c r="O22" s="19">
        <f>Test!E21</f>
        <v>40.438699999999997</v>
      </c>
      <c r="P22" s="19">
        <f>Test!F21</f>
        <v>78994.553</v>
      </c>
      <c r="Q22" s="19">
        <f>Test!G21</f>
        <v>560.13900000000001</v>
      </c>
      <c r="R22" s="20">
        <f t="shared" si="5"/>
        <v>21.942931388888891</v>
      </c>
      <c r="S22" s="15">
        <f t="shared" si="6"/>
        <v>1</v>
      </c>
      <c r="T22" s="15">
        <f t="shared" si="7"/>
        <v>3.4117163374568311</v>
      </c>
      <c r="U22" s="41">
        <f t="shared" si="3"/>
        <v>0</v>
      </c>
      <c r="V22" s="28"/>
      <c r="W22" s="37"/>
      <c r="X22" s="37"/>
      <c r="Y22" s="27"/>
    </row>
    <row r="23" spans="1:25" x14ac:dyDescent="0.2">
      <c r="A23" s="23"/>
      <c r="B23" s="9" t="s">
        <v>63</v>
      </c>
      <c r="C23" s="22">
        <v>22</v>
      </c>
      <c r="D23" s="10">
        <f>Reference!B22</f>
        <v>16668.29</v>
      </c>
      <c r="E23" s="11">
        <f>Reference!C22</f>
        <v>37.200899999999997</v>
      </c>
      <c r="F23" s="11">
        <f>Reference!D22</f>
        <v>42.145099999999999</v>
      </c>
      <c r="G23" s="11">
        <f>Reference!E22</f>
        <v>44.424799999999998</v>
      </c>
      <c r="H23" s="11">
        <f>Reference!F22</f>
        <v>126643.58500000001</v>
      </c>
      <c r="I23" s="11">
        <f>Reference!G22</f>
        <v>473.43099999999998</v>
      </c>
      <c r="J23" s="12">
        <f t="shared" si="4"/>
        <v>35.178773611111112</v>
      </c>
      <c r="L23" s="10">
        <f>Test!B22</f>
        <v>16668.29</v>
      </c>
      <c r="M23" s="11">
        <f>Test!C22</f>
        <v>37.297199999999997</v>
      </c>
      <c r="N23" s="11">
        <f>Test!D22</f>
        <v>42.536799999999999</v>
      </c>
      <c r="O23" s="11">
        <f>Test!E22</f>
        <v>44.761699999999998</v>
      </c>
      <c r="P23" s="11">
        <f>Test!F22</f>
        <v>126643.58500000001</v>
      </c>
      <c r="Q23" s="11">
        <f>Test!G22</f>
        <v>960.14799999999991</v>
      </c>
      <c r="R23" s="12">
        <f t="shared" si="5"/>
        <v>35.178773611111112</v>
      </c>
      <c r="S23" s="15">
        <f t="shared" si="6"/>
        <v>1</v>
      </c>
      <c r="T23" s="15">
        <f t="shared" si="7"/>
        <v>2.0280632235742906</v>
      </c>
      <c r="U23" s="41">
        <f t="shared" si="3"/>
        <v>0</v>
      </c>
      <c r="V23" s="26">
        <f>bdrate($D23:$D26,E23:E26,$L23:$L26,M23:M26)</f>
        <v>-0.1196532420892823</v>
      </c>
      <c r="W23" s="31">
        <f>bdrate($D23:$D26,F23:F26,$L23:$L26,N23:N26)</f>
        <v>-0.34731348377898341</v>
      </c>
      <c r="X23" s="31">
        <f>bdrate($D23:$D26,G23:G26,$L23:$L26,O23:O26)</f>
        <v>-0.32438858556106187</v>
      </c>
      <c r="Y23" s="29"/>
    </row>
    <row r="24" spans="1:25" x14ac:dyDescent="0.2">
      <c r="A24" s="23"/>
      <c r="B24" s="13"/>
      <c r="C24" s="23">
        <v>27</v>
      </c>
      <c r="D24" s="14">
        <f>Reference!B23</f>
        <v>3816.23</v>
      </c>
      <c r="E24" s="15">
        <f>Reference!C23</f>
        <v>35.107999999999997</v>
      </c>
      <c r="F24" s="15">
        <f>Reference!D23</f>
        <v>41.0715</v>
      </c>
      <c r="G24" s="15">
        <f>Reference!E23</f>
        <v>43.454500000000003</v>
      </c>
      <c r="H24" s="15">
        <f>Reference!F23</f>
        <v>76455.014999999999</v>
      </c>
      <c r="I24" s="15">
        <f>Reference!G23</f>
        <v>251.15199999999999</v>
      </c>
      <c r="J24" s="16">
        <f t="shared" si="4"/>
        <v>21.237504166666668</v>
      </c>
      <c r="L24" s="14">
        <f>Test!B23</f>
        <v>3816.23</v>
      </c>
      <c r="M24" s="15">
        <f>Test!C23</f>
        <v>35.273899999999998</v>
      </c>
      <c r="N24" s="15">
        <f>Test!D23</f>
        <v>41.572600000000001</v>
      </c>
      <c r="O24" s="15">
        <f>Test!E23</f>
        <v>43.856699999999996</v>
      </c>
      <c r="P24" s="15">
        <f>Test!F23</f>
        <v>76455.014999999999</v>
      </c>
      <c r="Q24" s="15">
        <f>Test!G23</f>
        <v>732.66499999999996</v>
      </c>
      <c r="R24" s="16">
        <f t="shared" si="5"/>
        <v>21.237504166666668</v>
      </c>
      <c r="S24" s="15">
        <f t="shared" si="6"/>
        <v>1</v>
      </c>
      <c r="T24" s="15">
        <f t="shared" si="7"/>
        <v>2.9172174619354019</v>
      </c>
      <c r="U24" s="41">
        <f t="shared" si="3"/>
        <v>0</v>
      </c>
      <c r="V24" s="27"/>
      <c r="W24" s="21"/>
      <c r="X24" s="21"/>
      <c r="Y24" s="27"/>
    </row>
    <row r="25" spans="1:25" x14ac:dyDescent="0.2">
      <c r="A25" s="23"/>
      <c r="B25" s="23"/>
      <c r="C25" s="23">
        <v>32</v>
      </c>
      <c r="D25" s="14">
        <f>Reference!B24</f>
        <v>1357.4793</v>
      </c>
      <c r="E25" s="15">
        <f>Reference!C24</f>
        <v>33.782299999999999</v>
      </c>
      <c r="F25" s="15">
        <f>Reference!D24</f>
        <v>39.784599999999998</v>
      </c>
      <c r="G25" s="15">
        <f>Reference!E24</f>
        <v>42.282299999999999</v>
      </c>
      <c r="H25" s="15">
        <f>Reference!F24</f>
        <v>63799.705999999998</v>
      </c>
      <c r="I25" s="15">
        <f>Reference!G24</f>
        <v>177.172</v>
      </c>
      <c r="J25" s="16">
        <f t="shared" si="4"/>
        <v>17.722140555555555</v>
      </c>
      <c r="L25" s="14">
        <f>Test!B24</f>
        <v>1357.4793</v>
      </c>
      <c r="M25" s="15">
        <f>Test!C24</f>
        <v>34.0396</v>
      </c>
      <c r="N25" s="15">
        <f>Test!D24</f>
        <v>40.244199999999999</v>
      </c>
      <c r="O25" s="15">
        <f>Test!E24</f>
        <v>42.6693</v>
      </c>
      <c r="P25" s="15">
        <f>Test!F24</f>
        <v>63799.705999999998</v>
      </c>
      <c r="Q25" s="15">
        <f>Test!G24</f>
        <v>660.38900000000001</v>
      </c>
      <c r="R25" s="16">
        <f t="shared" si="5"/>
        <v>17.722140555555555</v>
      </c>
      <c r="S25" s="15">
        <f t="shared" si="6"/>
        <v>1</v>
      </c>
      <c r="T25" s="15">
        <f t="shared" si="7"/>
        <v>3.7273892037116476</v>
      </c>
      <c r="U25" s="41">
        <f t="shared" si="3"/>
        <v>0</v>
      </c>
      <c r="V25" s="27"/>
      <c r="W25" s="21"/>
      <c r="X25" s="21"/>
      <c r="Y25" s="27"/>
    </row>
    <row r="26" spans="1:25" ht="12.75" thickBot="1" x14ac:dyDescent="0.25">
      <c r="A26" s="23"/>
      <c r="B26" s="24"/>
      <c r="C26" s="24">
        <v>37</v>
      </c>
      <c r="D26" s="18">
        <f>Reference!B25</f>
        <v>649.36869999999999</v>
      </c>
      <c r="E26" s="19">
        <f>Reference!C25</f>
        <v>32.1449</v>
      </c>
      <c r="F26" s="19">
        <f>Reference!D25</f>
        <v>38.618000000000002</v>
      </c>
      <c r="G26" s="19">
        <f>Reference!E25</f>
        <v>41.184899999999999</v>
      </c>
      <c r="H26" s="19">
        <f>Reference!F25</f>
        <v>58019.985999999997</v>
      </c>
      <c r="I26" s="19">
        <f>Reference!G25</f>
        <v>154.78800000000001</v>
      </c>
      <c r="J26" s="20">
        <f t="shared" si="4"/>
        <v>16.116662777777776</v>
      </c>
      <c r="L26" s="18">
        <f>Test!B25</f>
        <v>649.36869999999999</v>
      </c>
      <c r="M26" s="19">
        <f>Test!C25</f>
        <v>32.499499999999998</v>
      </c>
      <c r="N26" s="19">
        <f>Test!D25</f>
        <v>39.088799999999999</v>
      </c>
      <c r="O26" s="19">
        <f>Test!E25</f>
        <v>41.648800000000001</v>
      </c>
      <c r="P26" s="19">
        <f>Test!F25</f>
        <v>58019.985999999997</v>
      </c>
      <c r="Q26" s="19">
        <f>Test!G25</f>
        <v>639.21</v>
      </c>
      <c r="R26" s="20">
        <f t="shared" si="5"/>
        <v>16.116662777777776</v>
      </c>
      <c r="S26" s="14">
        <f t="shared" si="6"/>
        <v>1</v>
      </c>
      <c r="T26" s="15">
        <f t="shared" si="7"/>
        <v>4.1295836886580357</v>
      </c>
      <c r="U26" s="45">
        <f t="shared" si="3"/>
        <v>0</v>
      </c>
      <c r="V26" s="28"/>
      <c r="W26" s="37"/>
      <c r="X26" s="37"/>
      <c r="Y26" s="27"/>
    </row>
    <row r="27" spans="1:25" x14ac:dyDescent="0.2">
      <c r="A27" s="13"/>
      <c r="B27" s="9" t="s">
        <v>64</v>
      </c>
      <c r="C27" s="9">
        <v>22</v>
      </c>
      <c r="D27" s="10">
        <f>Reference!B26</f>
        <v>10637.7667</v>
      </c>
      <c r="E27" s="11">
        <f>Reference!C26</f>
        <v>42.293700000000001</v>
      </c>
      <c r="F27" s="11">
        <f>Reference!D26</f>
        <v>41.637700000000002</v>
      </c>
      <c r="G27" s="11">
        <f>Reference!E26</f>
        <v>42.534700000000001</v>
      </c>
      <c r="H27" s="11">
        <f>Reference!F26</f>
        <v>126584.917</v>
      </c>
      <c r="I27" s="11">
        <f>Reference!G26</f>
        <v>405.16399999999999</v>
      </c>
      <c r="J27" s="12">
        <f>H27/3600</f>
        <v>35.162476944444442</v>
      </c>
      <c r="L27" s="10">
        <f>Test!B26</f>
        <v>10637.7667</v>
      </c>
      <c r="M27" s="11">
        <f>Test!C26</f>
        <v>42.442999999999998</v>
      </c>
      <c r="N27" s="11">
        <f>Test!D26</f>
        <v>42.639099999999999</v>
      </c>
      <c r="O27" s="11">
        <f>Test!E26</f>
        <v>43.613199999999999</v>
      </c>
      <c r="P27" s="11">
        <f>Test!F26</f>
        <v>126584.917</v>
      </c>
      <c r="Q27" s="11">
        <f>Test!G26</f>
        <v>880.27199999999993</v>
      </c>
      <c r="R27" s="12">
        <f>P27/3600</f>
        <v>35.162476944444442</v>
      </c>
      <c r="S27" s="15">
        <f>P27/H27</f>
        <v>1</v>
      </c>
      <c r="T27" s="15">
        <f>Q27/I27</f>
        <v>2.1726313295356943</v>
      </c>
      <c r="U27" s="41">
        <f>ABS(L27-D27)/D27</f>
        <v>0</v>
      </c>
      <c r="V27" s="26">
        <f>bdrate($D27:$D30,E27:E30,$L27:$L30,M27:M30)</f>
        <v>-3.9203530452160962E-2</v>
      </c>
      <c r="W27" s="31">
        <f>bdrate($D27:$D30,F27:F30,$L27:$L30,N27:N30)</f>
        <v>-0.23270046627827212</v>
      </c>
      <c r="X27" s="32">
        <f>bdrate($D27:$D30,G27:G30,$L27:$L30,O27:O30)</f>
        <v>-0.36390621970712544</v>
      </c>
      <c r="Y27" s="29"/>
    </row>
    <row r="28" spans="1:25" x14ac:dyDescent="0.2">
      <c r="A28" s="13"/>
      <c r="B28" s="13"/>
      <c r="C28" s="13">
        <v>27</v>
      </c>
      <c r="D28" s="14">
        <f>Reference!B27</f>
        <v>5169.1986999999999</v>
      </c>
      <c r="E28" s="15">
        <f>Reference!C27</f>
        <v>39.569200000000002</v>
      </c>
      <c r="F28" s="15">
        <f>Reference!D27</f>
        <v>38.089599999999997</v>
      </c>
      <c r="G28" s="15">
        <f>Reference!E27</f>
        <v>40.1419</v>
      </c>
      <c r="H28" s="15">
        <f>Reference!F27</f>
        <v>106484.505</v>
      </c>
      <c r="I28" s="15">
        <f>Reference!G27</f>
        <v>311.02600000000001</v>
      </c>
      <c r="J28" s="16">
        <f t="shared" ref="J28:J42" si="8">H28/3600</f>
        <v>29.579029166666668</v>
      </c>
      <c r="L28" s="14">
        <f>Test!B27</f>
        <v>5169.1986999999999</v>
      </c>
      <c r="M28" s="15">
        <f>Test!C27</f>
        <v>39.738300000000002</v>
      </c>
      <c r="N28" s="15">
        <f>Test!D27</f>
        <v>39.129199999999997</v>
      </c>
      <c r="O28" s="15">
        <f>Test!E27</f>
        <v>41.427399999999999</v>
      </c>
      <c r="P28" s="15">
        <f>Test!F27</f>
        <v>106484.505</v>
      </c>
      <c r="Q28" s="15">
        <f>Test!G27</f>
        <v>795.38100000000009</v>
      </c>
      <c r="R28" s="16">
        <f t="shared" ref="R28:R42" si="9">P28/3600</f>
        <v>29.579029166666668</v>
      </c>
      <c r="S28" s="15">
        <f t="shared" ref="S28:S42" si="10">P28/H28</f>
        <v>1</v>
      </c>
      <c r="T28" s="15">
        <f t="shared" ref="T28:T42" si="11">Q28/I28</f>
        <v>2.5572813848359948</v>
      </c>
      <c r="U28" s="41">
        <f t="shared" si="3"/>
        <v>0</v>
      </c>
      <c r="V28" s="27"/>
      <c r="W28" s="21"/>
      <c r="X28" s="36"/>
      <c r="Y28" s="27"/>
    </row>
    <row r="29" spans="1:25" x14ac:dyDescent="0.2">
      <c r="A29" s="13"/>
      <c r="B29" s="13"/>
      <c r="C29" s="13">
        <v>32</v>
      </c>
      <c r="D29" s="14">
        <f>Reference!B28</f>
        <v>2932.7226999999998</v>
      </c>
      <c r="E29" s="15">
        <f>Reference!C28</f>
        <v>36.914299999999997</v>
      </c>
      <c r="F29" s="15">
        <f>Reference!D28</f>
        <v>36.159700000000001</v>
      </c>
      <c r="G29" s="15">
        <f>Reference!E28</f>
        <v>38.3874</v>
      </c>
      <c r="H29" s="15">
        <f>Reference!F28</f>
        <v>93427.563999999998</v>
      </c>
      <c r="I29" s="15">
        <f>Reference!G28</f>
        <v>246.75700000000001</v>
      </c>
      <c r="J29" s="16">
        <f t="shared" si="8"/>
        <v>25.952101111111112</v>
      </c>
      <c r="L29" s="14">
        <f>Test!B28</f>
        <v>2932.7226999999998</v>
      </c>
      <c r="M29" s="15">
        <f>Test!C28</f>
        <v>37.0899</v>
      </c>
      <c r="N29" s="15">
        <f>Test!D28</f>
        <v>37.2117</v>
      </c>
      <c r="O29" s="15">
        <f>Test!E28</f>
        <v>39.9011</v>
      </c>
      <c r="P29" s="15">
        <f>Test!F28</f>
        <v>93427.563999999998</v>
      </c>
      <c r="Q29" s="15">
        <f>Test!G28</f>
        <v>720.96500000000003</v>
      </c>
      <c r="R29" s="16">
        <f t="shared" si="9"/>
        <v>25.952101111111112</v>
      </c>
      <c r="S29" s="15">
        <f t="shared" si="10"/>
        <v>1</v>
      </c>
      <c r="T29" s="15">
        <f t="shared" si="11"/>
        <v>2.9217610847919206</v>
      </c>
      <c r="U29" s="41">
        <f t="shared" si="3"/>
        <v>0</v>
      </c>
      <c r="V29" s="27"/>
      <c r="W29" s="21"/>
      <c r="X29" s="36"/>
      <c r="Y29" s="27"/>
    </row>
    <row r="30" spans="1:25" ht="12.75" thickBot="1" x14ac:dyDescent="0.25">
      <c r="A30" s="13"/>
      <c r="B30" s="17"/>
      <c r="C30" s="17">
        <v>37</v>
      </c>
      <c r="D30" s="18">
        <f>Reference!B29</f>
        <v>1557.65</v>
      </c>
      <c r="E30" s="19">
        <f>Reference!C29</f>
        <v>34.333399999999997</v>
      </c>
      <c r="F30" s="19">
        <f>Reference!D29</f>
        <v>34.136800000000001</v>
      </c>
      <c r="G30" s="19">
        <f>Reference!E29</f>
        <v>36.690300000000001</v>
      </c>
      <c r="H30" s="19">
        <f>Reference!F29</f>
        <v>83017.122000000003</v>
      </c>
      <c r="I30" s="19">
        <f>Reference!G29</f>
        <v>205.934</v>
      </c>
      <c r="J30" s="20">
        <f t="shared" si="8"/>
        <v>23.060311666666667</v>
      </c>
      <c r="L30" s="18">
        <f>Test!B29</f>
        <v>1557.65</v>
      </c>
      <c r="M30" s="19">
        <f>Test!C29</f>
        <v>34.483899999999998</v>
      </c>
      <c r="N30" s="19">
        <f>Test!D29</f>
        <v>35.022199999999998</v>
      </c>
      <c r="O30" s="19">
        <f>Test!E29</f>
        <v>37.995800000000003</v>
      </c>
      <c r="P30" s="19">
        <f>Test!F29</f>
        <v>83017.122000000003</v>
      </c>
      <c r="Q30" s="19">
        <f>Test!G29</f>
        <v>692.12</v>
      </c>
      <c r="R30" s="20">
        <f t="shared" si="9"/>
        <v>23.060311666666667</v>
      </c>
      <c r="S30" s="15">
        <f t="shared" si="10"/>
        <v>1</v>
      </c>
      <c r="T30" s="15">
        <f t="shared" si="11"/>
        <v>3.3608826128759701</v>
      </c>
      <c r="U30" s="41">
        <f t="shared" si="3"/>
        <v>0</v>
      </c>
      <c r="V30" s="28"/>
      <c r="W30" s="37"/>
      <c r="X30" s="38"/>
      <c r="Y30" s="27"/>
    </row>
    <row r="31" spans="1:25" x14ac:dyDescent="0.2">
      <c r="A31" s="13"/>
      <c r="B31" s="9" t="s">
        <v>65</v>
      </c>
      <c r="C31" s="9">
        <v>22</v>
      </c>
      <c r="D31" s="10">
        <f>Reference!B30</f>
        <v>13620.8</v>
      </c>
      <c r="E31" s="11">
        <f>Reference!C30</f>
        <v>39.998100000000001</v>
      </c>
      <c r="F31" s="11">
        <f>Reference!D30</f>
        <v>43.036799999999999</v>
      </c>
      <c r="G31" s="11">
        <f>Reference!E30</f>
        <v>43.008499999999998</v>
      </c>
      <c r="H31" s="11">
        <f>Reference!F30</f>
        <v>129176.681</v>
      </c>
      <c r="I31" s="11">
        <f>Reference!G30</f>
        <v>420.46</v>
      </c>
      <c r="J31" s="12">
        <f t="shared" si="8"/>
        <v>35.88241138888889</v>
      </c>
      <c r="L31" s="10">
        <f>Test!B30</f>
        <v>13620.8</v>
      </c>
      <c r="M31" s="11">
        <f>Test!C30</f>
        <v>40.186599999999999</v>
      </c>
      <c r="N31" s="11">
        <f>Test!D30</f>
        <v>43.697899999999997</v>
      </c>
      <c r="O31" s="11">
        <f>Test!E30</f>
        <v>43.5505</v>
      </c>
      <c r="P31" s="11">
        <f>Test!F30</f>
        <v>129176.681</v>
      </c>
      <c r="Q31" s="11">
        <f>Test!G30</f>
        <v>898.59500000000003</v>
      </c>
      <c r="R31" s="12">
        <f t="shared" si="9"/>
        <v>35.88241138888889</v>
      </c>
      <c r="S31" s="15">
        <f t="shared" si="10"/>
        <v>1</v>
      </c>
      <c r="T31" s="15">
        <f t="shared" si="11"/>
        <v>2.1371711934547877</v>
      </c>
      <c r="U31" s="41">
        <f t="shared" si="3"/>
        <v>0</v>
      </c>
      <c r="V31" s="26">
        <f>bdrate($D31:$D34,E31:E34,$L31:$L34,M31:M34)</f>
        <v>-5.7830188527907556E-2</v>
      </c>
      <c r="W31" s="31">
        <f>bdrate($D31:$D34,F31:F34,$L31:$L34,N31:N34)</f>
        <v>-0.25959935196638317</v>
      </c>
      <c r="X31" s="31">
        <f>bdrate($D31:$D34,G31:G34,$L31:$L34,O31:O34)</f>
        <v>-0.24667978256086753</v>
      </c>
      <c r="Y31" s="29"/>
    </row>
    <row r="32" spans="1:25" x14ac:dyDescent="0.2">
      <c r="A32" s="13"/>
      <c r="B32" s="13"/>
      <c r="C32" s="13">
        <v>27</v>
      </c>
      <c r="D32" s="14">
        <f>Reference!B31</f>
        <v>6209.5439999999999</v>
      </c>
      <c r="E32" s="15">
        <f>Reference!C31</f>
        <v>36.919499999999999</v>
      </c>
      <c r="F32" s="15">
        <f>Reference!D31</f>
        <v>40.709200000000003</v>
      </c>
      <c r="G32" s="15">
        <f>Reference!E31</f>
        <v>40.834099999999999</v>
      </c>
      <c r="H32" s="15">
        <f>Reference!F31</f>
        <v>108233.47500000001</v>
      </c>
      <c r="I32" s="15">
        <f>Reference!G31</f>
        <v>319.53800000000001</v>
      </c>
      <c r="J32" s="16">
        <f t="shared" si="8"/>
        <v>30.064854166666667</v>
      </c>
      <c r="L32" s="14">
        <f>Test!B31</f>
        <v>6209.5439999999999</v>
      </c>
      <c r="M32" s="15">
        <f>Test!C31</f>
        <v>37.155000000000001</v>
      </c>
      <c r="N32" s="15">
        <f>Test!D31</f>
        <v>41.547699999999999</v>
      </c>
      <c r="O32" s="15">
        <f>Test!E31</f>
        <v>41.551299999999998</v>
      </c>
      <c r="P32" s="15">
        <f>Test!F31</f>
        <v>108233.47500000001</v>
      </c>
      <c r="Q32" s="15">
        <f>Test!G31</f>
        <v>808.75199999999995</v>
      </c>
      <c r="R32" s="16">
        <f t="shared" si="9"/>
        <v>30.064854166666667</v>
      </c>
      <c r="S32" s="15">
        <f t="shared" si="10"/>
        <v>1</v>
      </c>
      <c r="T32" s="15">
        <f t="shared" si="11"/>
        <v>2.5310041372231158</v>
      </c>
      <c r="U32" s="41">
        <f t="shared" si="3"/>
        <v>0</v>
      </c>
      <c r="V32" s="27"/>
      <c r="W32" s="21"/>
      <c r="X32" s="21"/>
      <c r="Y32" s="27"/>
    </row>
    <row r="33" spans="1:25" x14ac:dyDescent="0.2">
      <c r="A33" s="13"/>
      <c r="B33" s="13"/>
      <c r="C33" s="13">
        <v>32</v>
      </c>
      <c r="D33" s="14">
        <f>Reference!B32</f>
        <v>3055.5059999999999</v>
      </c>
      <c r="E33" s="15">
        <f>Reference!C32</f>
        <v>34.099299999999999</v>
      </c>
      <c r="F33" s="15">
        <f>Reference!D32</f>
        <v>38.7044</v>
      </c>
      <c r="G33" s="15">
        <f>Reference!E32</f>
        <v>38.968600000000002</v>
      </c>
      <c r="H33" s="15">
        <f>Reference!F32</f>
        <v>92142.604000000007</v>
      </c>
      <c r="I33" s="15">
        <f>Reference!G32</f>
        <v>248.11799999999999</v>
      </c>
      <c r="J33" s="16">
        <f t="shared" si="8"/>
        <v>25.595167777777778</v>
      </c>
      <c r="L33" s="14">
        <f>Test!B32</f>
        <v>3055.5059999999999</v>
      </c>
      <c r="M33" s="15">
        <f>Test!C32</f>
        <v>34.344999999999999</v>
      </c>
      <c r="N33" s="15">
        <f>Test!D32</f>
        <v>39.569699999999997</v>
      </c>
      <c r="O33" s="15">
        <f>Test!E32</f>
        <v>39.754199999999997</v>
      </c>
      <c r="P33" s="15">
        <f>Test!F32</f>
        <v>92142.604000000007</v>
      </c>
      <c r="Q33" s="15">
        <f>Test!G32</f>
        <v>729.78600000000006</v>
      </c>
      <c r="R33" s="16">
        <f t="shared" si="9"/>
        <v>25.595167777777778</v>
      </c>
      <c r="S33" s="15">
        <f t="shared" si="10"/>
        <v>1</v>
      </c>
      <c r="T33" s="15">
        <f t="shared" si="11"/>
        <v>2.9412860010156461</v>
      </c>
      <c r="U33" s="41">
        <f t="shared" si="3"/>
        <v>0</v>
      </c>
      <c r="V33" s="27"/>
      <c r="W33" s="21"/>
      <c r="X33" s="21"/>
      <c r="Y33" s="27"/>
    </row>
    <row r="34" spans="1:25" ht="12.75" thickBot="1" x14ac:dyDescent="0.25">
      <c r="A34" s="13"/>
      <c r="B34" s="17"/>
      <c r="C34" s="17">
        <v>37</v>
      </c>
      <c r="D34" s="18">
        <f>Reference!B33</f>
        <v>1471.1320000000001</v>
      </c>
      <c r="E34" s="19">
        <f>Reference!C33</f>
        <v>31.366700000000002</v>
      </c>
      <c r="F34" s="19">
        <f>Reference!D33</f>
        <v>36.9315</v>
      </c>
      <c r="G34" s="19">
        <f>Reference!E33</f>
        <v>37.2378</v>
      </c>
      <c r="H34" s="19">
        <f>Reference!F33</f>
        <v>77524.994999999995</v>
      </c>
      <c r="I34" s="19">
        <f>Reference!G33</f>
        <v>197.816</v>
      </c>
      <c r="J34" s="20">
        <f t="shared" si="8"/>
        <v>21.534720833333331</v>
      </c>
      <c r="L34" s="18">
        <f>Test!B33</f>
        <v>1471.1320000000001</v>
      </c>
      <c r="M34" s="19">
        <f>Test!C33</f>
        <v>31.582000000000001</v>
      </c>
      <c r="N34" s="19">
        <f>Test!D33</f>
        <v>37.691899999999997</v>
      </c>
      <c r="O34" s="19">
        <f>Test!E33</f>
        <v>37.969499999999996</v>
      </c>
      <c r="P34" s="19">
        <f>Test!F33</f>
        <v>77524.994999999995</v>
      </c>
      <c r="Q34" s="19">
        <f>Test!G33</f>
        <v>683.06000000000006</v>
      </c>
      <c r="R34" s="20">
        <f t="shared" si="9"/>
        <v>21.534720833333331</v>
      </c>
      <c r="S34" s="15">
        <f t="shared" si="10"/>
        <v>1</v>
      </c>
      <c r="T34" s="15">
        <f t="shared" si="11"/>
        <v>3.453006834634206</v>
      </c>
      <c r="U34" s="41">
        <f t="shared" si="3"/>
        <v>0</v>
      </c>
      <c r="V34" s="28"/>
      <c r="W34" s="37"/>
      <c r="X34" s="37"/>
      <c r="Y34" s="27"/>
    </row>
    <row r="35" spans="1:25" x14ac:dyDescent="0.2">
      <c r="A35" s="13"/>
      <c r="B35" s="9" t="s">
        <v>66</v>
      </c>
      <c r="C35" s="9">
        <v>22</v>
      </c>
      <c r="D35" s="10">
        <f>Reference!B34</f>
        <v>10744.425999999999</v>
      </c>
      <c r="E35" s="11">
        <f>Reference!C34</f>
        <v>40.2468</v>
      </c>
      <c r="F35" s="11">
        <f>Reference!D34</f>
        <v>42.3596</v>
      </c>
      <c r="G35" s="11">
        <f>Reference!E34</f>
        <v>43.163200000000003</v>
      </c>
      <c r="H35" s="11">
        <f>Reference!F34</f>
        <v>100957.95600000001</v>
      </c>
      <c r="I35" s="11">
        <f>Reference!G34</f>
        <v>320.60399999999998</v>
      </c>
      <c r="J35" s="12">
        <f t="shared" si="8"/>
        <v>28.043876666666669</v>
      </c>
      <c r="L35" s="10">
        <f>Test!B34</f>
        <v>10744.425999999999</v>
      </c>
      <c r="M35" s="11">
        <f>Test!C34</f>
        <v>40.448099999999997</v>
      </c>
      <c r="N35" s="11">
        <f>Test!D34</f>
        <v>42.959400000000002</v>
      </c>
      <c r="O35" s="11">
        <f>Test!E34</f>
        <v>43.813000000000002</v>
      </c>
      <c r="P35" s="11">
        <f>Test!F34</f>
        <v>100957.95600000001</v>
      </c>
      <c r="Q35" s="11">
        <f>Test!G34</f>
        <v>805.12099999999998</v>
      </c>
      <c r="R35" s="12">
        <f t="shared" si="9"/>
        <v>28.043876666666669</v>
      </c>
      <c r="S35" s="15">
        <f t="shared" si="10"/>
        <v>1</v>
      </c>
      <c r="T35" s="15">
        <f t="shared" si="11"/>
        <v>2.5112631158687977</v>
      </c>
      <c r="U35" s="41">
        <f t="shared" si="3"/>
        <v>0</v>
      </c>
      <c r="V35" s="26">
        <f>bdrate($D35:$D38,E35:E38,$L35:$L38,M35:M38)</f>
        <v>-5.4265467896362218E-2</v>
      </c>
      <c r="W35" s="31">
        <f>bdrate($D35:$D38,F35:F38,$L35:$L38,N35:N38)</f>
        <v>-0.20261142016864475</v>
      </c>
      <c r="X35" s="31">
        <f>bdrate($D35:$D38,G35:G38,$L35:$L38,O35:O38)</f>
        <v>-0.19604692424846626</v>
      </c>
      <c r="Y35" s="29"/>
    </row>
    <row r="36" spans="1:25" x14ac:dyDescent="0.2">
      <c r="A36" s="13"/>
      <c r="B36" s="13"/>
      <c r="C36" s="13">
        <v>27</v>
      </c>
      <c r="D36" s="14">
        <f>Reference!B35</f>
        <v>5285.1859999999997</v>
      </c>
      <c r="E36" s="15">
        <f>Reference!C35</f>
        <v>36.961500000000001</v>
      </c>
      <c r="F36" s="15">
        <f>Reference!D35</f>
        <v>39.692700000000002</v>
      </c>
      <c r="G36" s="15">
        <f>Reference!E35</f>
        <v>40.757199999999997</v>
      </c>
      <c r="H36" s="15">
        <f>Reference!F35</f>
        <v>84858.298999999999</v>
      </c>
      <c r="I36" s="15">
        <f>Reference!G35</f>
        <v>236.268</v>
      </c>
      <c r="J36" s="16">
        <f t="shared" si="8"/>
        <v>23.571749722222222</v>
      </c>
      <c r="L36" s="14">
        <f>Test!B35</f>
        <v>5285.1859999999997</v>
      </c>
      <c r="M36" s="15">
        <f>Test!C35</f>
        <v>37.225900000000003</v>
      </c>
      <c r="N36" s="15">
        <f>Test!D35</f>
        <v>40.498800000000003</v>
      </c>
      <c r="O36" s="15">
        <f>Test!E35</f>
        <v>41.4679</v>
      </c>
      <c r="P36" s="15">
        <f>Test!F35</f>
        <v>84858.298999999999</v>
      </c>
      <c r="Q36" s="15">
        <f>Test!G35</f>
        <v>721.12300000000005</v>
      </c>
      <c r="R36" s="16">
        <f t="shared" si="9"/>
        <v>23.571749722222222</v>
      </c>
      <c r="S36" s="15">
        <f t="shared" si="10"/>
        <v>1</v>
      </c>
      <c r="T36" s="15">
        <f t="shared" si="11"/>
        <v>3.0521399427768467</v>
      </c>
      <c r="U36" s="41">
        <f t="shared" si="3"/>
        <v>0</v>
      </c>
      <c r="V36" s="27"/>
      <c r="W36" s="21"/>
      <c r="X36" s="21"/>
      <c r="Y36" s="27"/>
    </row>
    <row r="37" spans="1:25" x14ac:dyDescent="0.2">
      <c r="A37" s="13"/>
      <c r="B37" s="13"/>
      <c r="C37" s="13">
        <v>32</v>
      </c>
      <c r="D37" s="14">
        <f>Reference!B36</f>
        <v>2729.0079999999998</v>
      </c>
      <c r="E37" s="15">
        <f>Reference!C36</f>
        <v>33.885599999999997</v>
      </c>
      <c r="F37" s="15">
        <f>Reference!D36</f>
        <v>37.0837</v>
      </c>
      <c r="G37" s="15">
        <f>Reference!E36</f>
        <v>38.592399999999998</v>
      </c>
      <c r="H37" s="15">
        <f>Reference!F36</f>
        <v>75300.164000000004</v>
      </c>
      <c r="I37" s="15">
        <f>Reference!G36</f>
        <v>189.78299999999999</v>
      </c>
      <c r="J37" s="16">
        <f t="shared" si="8"/>
        <v>20.916712222222223</v>
      </c>
      <c r="L37" s="14">
        <f>Test!B36</f>
        <v>2729.0079999999998</v>
      </c>
      <c r="M37" s="15">
        <f>Test!C36</f>
        <v>34.149099999999997</v>
      </c>
      <c r="N37" s="15">
        <f>Test!D36</f>
        <v>37.970599999999997</v>
      </c>
      <c r="O37" s="15">
        <f>Test!E36</f>
        <v>39.255200000000002</v>
      </c>
      <c r="P37" s="15">
        <f>Test!F36</f>
        <v>75300.164000000004</v>
      </c>
      <c r="Q37" s="15">
        <f>Test!G36</f>
        <v>681.66399999999999</v>
      </c>
      <c r="R37" s="16">
        <f t="shared" si="9"/>
        <v>20.916712222222223</v>
      </c>
      <c r="S37" s="15">
        <f t="shared" si="10"/>
        <v>1</v>
      </c>
      <c r="T37" s="15">
        <f t="shared" si="11"/>
        <v>3.5918074853912101</v>
      </c>
      <c r="U37" s="41">
        <f t="shared" si="3"/>
        <v>0</v>
      </c>
      <c r="V37" s="27"/>
      <c r="W37" s="21"/>
      <c r="X37" s="21"/>
      <c r="Y37" s="27"/>
    </row>
    <row r="38" spans="1:25" ht="12.75" thickBot="1" x14ac:dyDescent="0.25">
      <c r="A38" s="13"/>
      <c r="B38" s="17"/>
      <c r="C38" s="17">
        <v>37</v>
      </c>
      <c r="D38" s="18">
        <f>Reference!B37</f>
        <v>1400.992</v>
      </c>
      <c r="E38" s="19">
        <f>Reference!C37</f>
        <v>30.981000000000002</v>
      </c>
      <c r="F38" s="19">
        <f>Reference!D37</f>
        <v>34.989600000000003</v>
      </c>
      <c r="G38" s="19">
        <f>Reference!E37</f>
        <v>36.945999999999998</v>
      </c>
      <c r="H38" s="19">
        <f>Reference!F37</f>
        <v>66572.668999999994</v>
      </c>
      <c r="I38" s="19">
        <f>Reference!G37</f>
        <v>159.98599999999999</v>
      </c>
      <c r="J38" s="20">
        <f t="shared" si="8"/>
        <v>18.492408055555554</v>
      </c>
      <c r="L38" s="18">
        <f>Test!B37</f>
        <v>1400.992</v>
      </c>
      <c r="M38" s="19">
        <f>Test!C37</f>
        <v>31.221800000000002</v>
      </c>
      <c r="N38" s="19">
        <f>Test!D37</f>
        <v>35.830300000000001</v>
      </c>
      <c r="O38" s="19">
        <f>Test!E37</f>
        <v>37.5501</v>
      </c>
      <c r="P38" s="19">
        <f>Test!F37</f>
        <v>66572.668999999994</v>
      </c>
      <c r="Q38" s="19">
        <f>Test!G37</f>
        <v>639.76199999999994</v>
      </c>
      <c r="R38" s="20">
        <f t="shared" si="9"/>
        <v>18.492408055555554</v>
      </c>
      <c r="S38" s="15">
        <f t="shared" si="10"/>
        <v>1</v>
      </c>
      <c r="T38" s="15">
        <f t="shared" si="11"/>
        <v>3.9988624004600402</v>
      </c>
      <c r="U38" s="41">
        <f>ABS(L38-D38)/D38</f>
        <v>0</v>
      </c>
      <c r="V38" s="28"/>
      <c r="W38" s="37"/>
      <c r="X38" s="37"/>
      <c r="Y38" s="27"/>
    </row>
    <row r="39" spans="1:25" x14ac:dyDescent="0.2">
      <c r="A39" s="13"/>
      <c r="B39" s="9" t="s">
        <v>67</v>
      </c>
      <c r="C39" s="9">
        <v>22</v>
      </c>
      <c r="D39" s="10">
        <f>Reference!B38</f>
        <v>4205.8747000000003</v>
      </c>
      <c r="E39" s="11">
        <f>Reference!C38</f>
        <v>42.104900000000001</v>
      </c>
      <c r="F39" s="11">
        <f>Reference!D38</f>
        <v>45.9908</v>
      </c>
      <c r="G39" s="11">
        <f>Reference!E38</f>
        <v>44.911799999999999</v>
      </c>
      <c r="H39" s="11">
        <f>Reference!F38</f>
        <v>63920.586000000003</v>
      </c>
      <c r="I39" s="11">
        <f>Reference!G38</f>
        <v>213.376</v>
      </c>
      <c r="J39" s="12">
        <f t="shared" si="8"/>
        <v>17.755718333333334</v>
      </c>
      <c r="L39" s="10">
        <f>Test!B38</f>
        <v>4205.8747000000003</v>
      </c>
      <c r="M39" s="11">
        <f>Test!C38</f>
        <v>42.188000000000002</v>
      </c>
      <c r="N39" s="11">
        <f>Test!D38</f>
        <v>47.473199999999999</v>
      </c>
      <c r="O39" s="11">
        <f>Test!E38</f>
        <v>45.685499999999998</v>
      </c>
      <c r="P39" s="11">
        <f>Test!F38</f>
        <v>63920.586000000003</v>
      </c>
      <c r="Q39" s="11">
        <f>Test!G38</f>
        <v>703.29700000000003</v>
      </c>
      <c r="R39" s="12">
        <f t="shared" si="9"/>
        <v>17.755718333333334</v>
      </c>
      <c r="S39" s="15">
        <f t="shared" si="10"/>
        <v>1</v>
      </c>
      <c r="T39" s="15">
        <f t="shared" si="11"/>
        <v>3.2960454784043192</v>
      </c>
      <c r="U39" s="41">
        <f>ABS(L39-D39)/D39</f>
        <v>0</v>
      </c>
      <c r="V39" s="26">
        <f>bdrate($D39:$D42,E39:E42,$L39:$L42,M39:M42)</f>
        <v>-5.2526497223935653E-2</v>
      </c>
      <c r="W39" s="31">
        <f>bdrate($D39:$D42,F39:F42,$L39:$L42,N39:N42)</f>
        <v>-0.37415160325020158</v>
      </c>
      <c r="X39" s="31">
        <f>bdrate($D39:$D42,G39:G42,$L39:$L42,O39:O42)</f>
        <v>-0.17939274670072269</v>
      </c>
      <c r="Y39" s="29"/>
    </row>
    <row r="40" spans="1:25" x14ac:dyDescent="0.2">
      <c r="A40" s="13"/>
      <c r="B40" s="13"/>
      <c r="C40" s="13">
        <v>27</v>
      </c>
      <c r="D40" s="14">
        <f>Reference!B39</f>
        <v>2232.5807</v>
      </c>
      <c r="E40" s="15">
        <f>Reference!C39</f>
        <v>39.321300000000001</v>
      </c>
      <c r="F40" s="15">
        <f>Reference!D39</f>
        <v>43.651499999999999</v>
      </c>
      <c r="G40" s="15">
        <f>Reference!E39</f>
        <v>42.630200000000002</v>
      </c>
      <c r="H40" s="15">
        <f>Reference!F39</f>
        <v>53435.044999999998</v>
      </c>
      <c r="I40" s="15">
        <f>Reference!G39</f>
        <v>172.93199999999999</v>
      </c>
      <c r="J40" s="16">
        <f t="shared" si="8"/>
        <v>14.843068055555555</v>
      </c>
      <c r="L40" s="14">
        <f>Test!B39</f>
        <v>2232.5807</v>
      </c>
      <c r="M40" s="15">
        <f>Test!C39</f>
        <v>39.526200000000003</v>
      </c>
      <c r="N40" s="15">
        <f>Test!D39</f>
        <v>45.464199999999998</v>
      </c>
      <c r="O40" s="15">
        <f>Test!E39</f>
        <v>43.363100000000003</v>
      </c>
      <c r="P40" s="15">
        <f>Test!F39</f>
        <v>53435.044999999998</v>
      </c>
      <c r="Q40" s="15">
        <f>Test!G39</f>
        <v>652.28</v>
      </c>
      <c r="R40" s="16">
        <f t="shared" si="9"/>
        <v>14.843068055555555</v>
      </c>
      <c r="S40" s="15">
        <f t="shared" si="10"/>
        <v>1</v>
      </c>
      <c r="T40" s="15">
        <f t="shared" si="11"/>
        <v>3.7718872157842389</v>
      </c>
      <c r="U40" s="41">
        <f>ABS(L40-D40)/D40</f>
        <v>0</v>
      </c>
      <c r="V40" s="27"/>
      <c r="W40" s="21"/>
      <c r="X40" s="21"/>
      <c r="Y40" s="27"/>
    </row>
    <row r="41" spans="1:25" x14ac:dyDescent="0.2">
      <c r="A41" s="13"/>
      <c r="B41" s="13"/>
      <c r="C41" s="13">
        <v>32</v>
      </c>
      <c r="D41" s="14">
        <f>Reference!B40</f>
        <v>1214.3620000000001</v>
      </c>
      <c r="E41" s="15">
        <f>Reference!C40</f>
        <v>36.275700000000001</v>
      </c>
      <c r="F41" s="15">
        <f>Reference!D40</f>
        <v>41.160200000000003</v>
      </c>
      <c r="G41" s="15">
        <f>Reference!E40</f>
        <v>40.199800000000003</v>
      </c>
      <c r="H41" s="15">
        <f>Reference!F40</f>
        <v>49915.690999999999</v>
      </c>
      <c r="I41" s="15">
        <f>Reference!G40</f>
        <v>157.74199999999999</v>
      </c>
      <c r="J41" s="16">
        <f t="shared" si="8"/>
        <v>13.865469722222223</v>
      </c>
      <c r="L41" s="14">
        <f>Test!B40</f>
        <v>1214.3620000000001</v>
      </c>
      <c r="M41" s="15">
        <f>Test!C40</f>
        <v>36.594999999999999</v>
      </c>
      <c r="N41" s="15">
        <f>Test!D40</f>
        <v>42.910400000000003</v>
      </c>
      <c r="O41" s="15">
        <f>Test!E40</f>
        <v>40.874400000000001</v>
      </c>
      <c r="P41" s="15">
        <f>Test!F40</f>
        <v>49915.690999999999</v>
      </c>
      <c r="Q41" s="15">
        <f>Test!G40</f>
        <v>649.22299999999996</v>
      </c>
      <c r="R41" s="16">
        <f t="shared" si="9"/>
        <v>13.865469722222223</v>
      </c>
      <c r="S41" s="15">
        <f t="shared" si="10"/>
        <v>1</v>
      </c>
      <c r="T41" s="15">
        <f t="shared" si="11"/>
        <v>4.1157269465329458</v>
      </c>
      <c r="U41" s="41">
        <f>ABS(L41-D41)/D41</f>
        <v>0</v>
      </c>
      <c r="V41" s="27"/>
      <c r="W41" s="21"/>
      <c r="X41" s="21"/>
      <c r="Y41" s="27"/>
    </row>
    <row r="42" spans="1:25" ht="12.75" thickBot="1" x14ac:dyDescent="0.25">
      <c r="A42" s="13"/>
      <c r="B42" s="17"/>
      <c r="C42" s="17">
        <v>37</v>
      </c>
      <c r="D42" s="18">
        <f>Reference!B41</f>
        <v>634.96799999999996</v>
      </c>
      <c r="E42" s="19">
        <f>Reference!C41</f>
        <v>33.161700000000003</v>
      </c>
      <c r="F42" s="19">
        <f>Reference!D41</f>
        <v>39.329700000000003</v>
      </c>
      <c r="G42" s="19">
        <f>Reference!E41</f>
        <v>38.545000000000002</v>
      </c>
      <c r="H42" s="19">
        <f>Reference!F41</f>
        <v>47664.040999999997</v>
      </c>
      <c r="I42" s="19">
        <f>Reference!G41</f>
        <v>144.78200000000001</v>
      </c>
      <c r="J42" s="20">
        <f t="shared" si="8"/>
        <v>13.240011388888888</v>
      </c>
      <c r="L42" s="18">
        <f>Test!B41</f>
        <v>634.96799999999996</v>
      </c>
      <c r="M42" s="19">
        <f>Test!C41</f>
        <v>33.523400000000002</v>
      </c>
      <c r="N42" s="19">
        <f>Test!D41</f>
        <v>40.795699999999997</v>
      </c>
      <c r="O42" s="19">
        <f>Test!E41</f>
        <v>39.069699999999997</v>
      </c>
      <c r="P42" s="19">
        <f>Test!F41</f>
        <v>47664.040999999997</v>
      </c>
      <c r="Q42" s="19">
        <f>Test!G41</f>
        <v>624.774</v>
      </c>
      <c r="R42" s="20">
        <f t="shared" si="9"/>
        <v>13.240011388888888</v>
      </c>
      <c r="S42" s="15">
        <f t="shared" si="10"/>
        <v>1</v>
      </c>
      <c r="T42" s="15">
        <f t="shared" si="11"/>
        <v>4.3152739981489407</v>
      </c>
      <c r="U42" s="41">
        <f>ABS(L42-D42)/D42</f>
        <v>0</v>
      </c>
      <c r="V42" s="28"/>
      <c r="W42" s="37"/>
      <c r="X42" s="37"/>
      <c r="Y42" s="27"/>
    </row>
    <row r="43" spans="1:25" ht="12.75" thickBot="1" x14ac:dyDescent="0.25">
      <c r="A43" s="3"/>
      <c r="B43" s="4" t="s">
        <v>1</v>
      </c>
      <c r="C43" s="4"/>
      <c r="D43" s="4"/>
      <c r="E43" s="4"/>
      <c r="F43" s="4"/>
      <c r="G43" s="4"/>
      <c r="H43" s="4"/>
      <c r="I43" s="42">
        <f xml:space="preserve"> GEOMEAN(I3:I42)</f>
        <v>225.55636092385066</v>
      </c>
      <c r="J43" s="42">
        <f>GEOMEAN(J3:J42)</f>
        <v>21.82077157376122</v>
      </c>
      <c r="K43" s="4"/>
      <c r="L43" s="4"/>
      <c r="M43" s="4"/>
      <c r="N43" s="4"/>
      <c r="O43" s="4"/>
      <c r="P43" s="4"/>
      <c r="Q43" s="42">
        <f>GEOMEAN(Q3:Q42)</f>
        <v>700.58955994013888</v>
      </c>
      <c r="R43" s="42">
        <f>GEOMEAN(R3:R42)</f>
        <v>21.82077157376122</v>
      </c>
      <c r="S43" s="42">
        <f>GEOMEAN(S3:S42)</f>
        <v>1</v>
      </c>
      <c r="T43" s="42">
        <f>GEOMEAN(T3:T42)</f>
        <v>3.1060509979439797</v>
      </c>
      <c r="U43" s="42" t="e">
        <f>GEOMEAN(U3:U42)</f>
        <v>#NUM!</v>
      </c>
      <c r="V43" s="30">
        <f>AVERAGE(V3:V42)</f>
        <v>-6.266089799958785E-2</v>
      </c>
      <c r="W43" s="33">
        <f>AVERAGE(W3:W42)</f>
        <v>-0.26411823509939603</v>
      </c>
      <c r="X43" s="33">
        <f>AVERAGE(X3:X42)</f>
        <v>-0.23374704341231295</v>
      </c>
      <c r="Y43" s="29"/>
    </row>
    <row r="49" spans="1:2" customFormat="1" ht="14.25" x14ac:dyDescent="0.15">
      <c r="A49" s="48" t="s">
        <v>69</v>
      </c>
      <c r="B49" t="s">
        <v>70</v>
      </c>
    </row>
  </sheetData>
  <mergeCells count="3">
    <mergeCell ref="D1:J1"/>
    <mergeCell ref="L1:R1"/>
    <mergeCell ref="V1:X1"/>
  </mergeCells>
  <phoneticPr fontId="5" type="noConversion"/>
  <conditionalFormatting sqref="Y11">
    <cfRule type="cellIs" dxfId="51" priority="1163" operator="greaterThan">
      <formula>0.03</formula>
    </cfRule>
    <cfRule type="cellIs" dxfId="50" priority="1164" stopIfTrue="1" operator="lessThan">
      <formula>-0.03</formula>
    </cfRule>
  </conditionalFormatting>
  <conditionalFormatting sqref="V3:X14">
    <cfRule type="cellIs" dxfId="49" priority="1177" operator="greaterThan">
      <formula>0.03</formula>
    </cfRule>
    <cfRule type="cellIs" dxfId="48" priority="1178" stopIfTrue="1" operator="lessThan">
      <formula>-0.03</formula>
    </cfRule>
  </conditionalFormatting>
  <conditionalFormatting sqref="Y3">
    <cfRule type="cellIs" dxfId="47" priority="1175" operator="greaterThan">
      <formula>0.03</formula>
    </cfRule>
    <cfRule type="cellIs" dxfId="46" priority="1176" stopIfTrue="1" operator="lessThan">
      <formula>-0.03</formula>
    </cfRule>
  </conditionalFormatting>
  <conditionalFormatting sqref="Y7">
    <cfRule type="cellIs" dxfId="45" priority="1169" operator="greaterThan">
      <formula>0.03</formula>
    </cfRule>
    <cfRule type="cellIs" dxfId="44" priority="1170" stopIfTrue="1" operator="lessThan">
      <formula>-0.03</formula>
    </cfRule>
  </conditionalFormatting>
  <conditionalFormatting sqref="Y14">
    <cfRule type="cellIs" dxfId="43" priority="1087" operator="greaterThan">
      <formula>0.03</formula>
    </cfRule>
    <cfRule type="cellIs" dxfId="42" priority="1088" stopIfTrue="1" operator="lessThan">
      <formula>-0.03</formula>
    </cfRule>
  </conditionalFormatting>
  <conditionalFormatting sqref="Y6">
    <cfRule type="cellIs" dxfId="41" priority="1091" operator="greaterThan">
      <formula>0.03</formula>
    </cfRule>
    <cfRule type="cellIs" dxfId="40" priority="1092" stopIfTrue="1" operator="lessThan">
      <formula>-0.03</formula>
    </cfRule>
  </conditionalFormatting>
  <conditionalFormatting sqref="Y10">
    <cfRule type="cellIs" dxfId="39" priority="1089" operator="greaterThan">
      <formula>0.03</formula>
    </cfRule>
    <cfRule type="cellIs" dxfId="38" priority="1090" stopIfTrue="1" operator="lessThan">
      <formula>-0.03</formula>
    </cfRule>
  </conditionalFormatting>
  <conditionalFormatting sqref="V43:Y43">
    <cfRule type="cellIs" dxfId="37" priority="561" operator="greaterThan">
      <formula>0.03</formula>
    </cfRule>
    <cfRule type="cellIs" dxfId="36" priority="562" stopIfTrue="1" operator="lessThan">
      <formula>-0.03</formula>
    </cfRule>
  </conditionalFormatting>
  <conditionalFormatting sqref="Y23">
    <cfRule type="cellIs" dxfId="35" priority="433" operator="greaterThan">
      <formula>0.03</formula>
    </cfRule>
    <cfRule type="cellIs" dxfId="34" priority="434" stopIfTrue="1" operator="lessThan">
      <formula>-0.03</formula>
    </cfRule>
  </conditionalFormatting>
  <conditionalFormatting sqref="V15:X26">
    <cfRule type="cellIs" dxfId="33" priority="447" operator="greaterThan">
      <formula>0.03</formula>
    </cfRule>
    <cfRule type="cellIs" dxfId="32" priority="448" stopIfTrue="1" operator="lessThan">
      <formula>-0.03</formula>
    </cfRule>
  </conditionalFormatting>
  <conditionalFormatting sqref="Y15">
    <cfRule type="cellIs" dxfId="31" priority="445" operator="greaterThan">
      <formula>0.03</formula>
    </cfRule>
    <cfRule type="cellIs" dxfId="30" priority="446" stopIfTrue="1" operator="lessThan">
      <formula>-0.03</formula>
    </cfRule>
  </conditionalFormatting>
  <conditionalFormatting sqref="Y19">
    <cfRule type="cellIs" dxfId="29" priority="439" operator="greaterThan">
      <formula>0.03</formula>
    </cfRule>
    <cfRule type="cellIs" dxfId="28" priority="440" stopIfTrue="1" operator="lessThan">
      <formula>-0.03</formula>
    </cfRule>
  </conditionalFormatting>
  <conditionalFormatting sqref="Y26">
    <cfRule type="cellIs" dxfId="27" priority="417" operator="greaterThan">
      <formula>0.03</formula>
    </cfRule>
    <cfRule type="cellIs" dxfId="26" priority="418" stopIfTrue="1" operator="lessThan">
      <formula>-0.03</formula>
    </cfRule>
  </conditionalFormatting>
  <conditionalFormatting sqref="Y18">
    <cfRule type="cellIs" dxfId="25" priority="421" operator="greaterThan">
      <formula>0.03</formula>
    </cfRule>
    <cfRule type="cellIs" dxfId="24" priority="422" stopIfTrue="1" operator="lessThan">
      <formula>-0.03</formula>
    </cfRule>
  </conditionalFormatting>
  <conditionalFormatting sqref="Y22">
    <cfRule type="cellIs" dxfId="23" priority="419" operator="greaterThan">
      <formula>0.03</formula>
    </cfRule>
    <cfRule type="cellIs" dxfId="22" priority="420" stopIfTrue="1" operator="lessThan">
      <formula>-0.03</formula>
    </cfRule>
  </conditionalFormatting>
  <conditionalFormatting sqref="V27:X30">
    <cfRule type="cellIs" dxfId="21" priority="373" operator="greaterThan">
      <formula>0.03</formula>
    </cfRule>
    <cfRule type="cellIs" dxfId="20" priority="374" stopIfTrue="1" operator="lessThan">
      <formula>-0.03</formula>
    </cfRule>
  </conditionalFormatting>
  <conditionalFormatting sqref="Y27">
    <cfRule type="cellIs" dxfId="19" priority="371" operator="greaterThan">
      <formula>0.03</formula>
    </cfRule>
    <cfRule type="cellIs" dxfId="18" priority="372" stopIfTrue="1" operator="lessThan">
      <formula>-0.03</formula>
    </cfRule>
  </conditionalFormatting>
  <conditionalFormatting sqref="Y30">
    <cfRule type="cellIs" dxfId="17" priority="365" operator="greaterThan">
      <formula>0.03</formula>
    </cfRule>
    <cfRule type="cellIs" dxfId="16" priority="366" stopIfTrue="1" operator="lessThan">
      <formula>-0.03</formula>
    </cfRule>
  </conditionalFormatting>
  <conditionalFormatting sqref="Y35">
    <cfRule type="cellIs" dxfId="15" priority="345" operator="greaterThan">
      <formula>0.03</formula>
    </cfRule>
    <cfRule type="cellIs" dxfId="14" priority="346" stopIfTrue="1" operator="lessThan">
      <formula>-0.03</formula>
    </cfRule>
  </conditionalFormatting>
  <conditionalFormatting sqref="V31:X38">
    <cfRule type="cellIs" dxfId="13" priority="353" operator="greaterThan">
      <formula>0.03</formula>
    </cfRule>
    <cfRule type="cellIs" dxfId="12" priority="354" stopIfTrue="1" operator="lessThan">
      <formula>-0.03</formula>
    </cfRule>
  </conditionalFormatting>
  <conditionalFormatting sqref="Y31">
    <cfRule type="cellIs" dxfId="11" priority="351" operator="greaterThan">
      <formula>0.03</formula>
    </cfRule>
    <cfRule type="cellIs" dxfId="10" priority="352" stopIfTrue="1" operator="lessThan">
      <formula>-0.03</formula>
    </cfRule>
  </conditionalFormatting>
  <conditionalFormatting sqref="Y38">
    <cfRule type="cellIs" dxfId="9" priority="337" operator="greaterThan">
      <formula>0.03</formula>
    </cfRule>
    <cfRule type="cellIs" dxfId="8" priority="338" stopIfTrue="1" operator="lessThan">
      <formula>-0.03</formula>
    </cfRule>
  </conditionalFormatting>
  <conditionalFormatting sqref="Y34">
    <cfRule type="cellIs" dxfId="7" priority="339" operator="greaterThan">
      <formula>0.03</formula>
    </cfRule>
    <cfRule type="cellIs" dxfId="6" priority="340" stopIfTrue="1" operator="lessThan">
      <formula>-0.03</formula>
    </cfRule>
  </conditionalFormatting>
  <conditionalFormatting sqref="V39:X42">
    <cfRule type="cellIs" dxfId="5" priority="315" operator="greaterThan">
      <formula>0.03</formula>
    </cfRule>
    <cfRule type="cellIs" dxfId="4" priority="316" stopIfTrue="1" operator="lessThan">
      <formula>-0.03</formula>
    </cfRule>
  </conditionalFormatting>
  <conditionalFormatting sqref="Y39">
    <cfRule type="cellIs" dxfId="3" priority="313" operator="greaterThan">
      <formula>0.03</formula>
    </cfRule>
    <cfRule type="cellIs" dxfId="2" priority="314" stopIfTrue="1" operator="lessThan">
      <formula>-0.03</formula>
    </cfRule>
  </conditionalFormatting>
  <conditionalFormatting sqref="Y42">
    <cfRule type="cellIs" dxfId="1" priority="301" operator="greaterThan">
      <formula>0.03</formula>
    </cfRule>
    <cfRule type="cellIs" dxfId="0" priority="30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264"/>
  <sheetViews>
    <sheetView workbookViewId="0">
      <selection activeCell="K39" sqref="K39"/>
    </sheetView>
  </sheetViews>
  <sheetFormatPr defaultColWidth="9" defaultRowHeight="14.25" x14ac:dyDescent="0.15"/>
  <cols>
    <col min="1" max="1" width="39.25" customWidth="1"/>
    <col min="2" max="2" width="22.125" customWidth="1"/>
    <col min="5" max="5" width="11.875" customWidth="1"/>
    <col min="6" max="6" width="19.375" customWidth="1"/>
    <col min="7" max="7" width="20.25" customWidth="1"/>
  </cols>
  <sheetData>
    <row r="1" spans="1:8" x14ac:dyDescent="0.15">
      <c r="A1" t="s">
        <v>71</v>
      </c>
      <c r="B1" s="49" t="s">
        <v>72</v>
      </c>
      <c r="C1" s="49" t="s">
        <v>5</v>
      </c>
      <c r="D1" s="49" t="s">
        <v>6</v>
      </c>
      <c r="E1" s="49" t="s">
        <v>7</v>
      </c>
      <c r="F1" s="49" t="s">
        <v>73</v>
      </c>
      <c r="G1" s="49" t="s">
        <v>74</v>
      </c>
    </row>
    <row r="2" spans="1:8" ht="15" x14ac:dyDescent="0.2">
      <c r="A2" t="s">
        <v>17</v>
      </c>
      <c r="B2">
        <v>2127.4947000000002</v>
      </c>
      <c r="C2">
        <v>44.933999999999997</v>
      </c>
      <c r="D2">
        <v>45.485599999999998</v>
      </c>
      <c r="E2">
        <v>45.737099999999998</v>
      </c>
      <c r="F2">
        <v>53519.71</v>
      </c>
      <c r="G2">
        <v>153.226</v>
      </c>
      <c r="H2" s="50">
        <v>760.33900000000006</v>
      </c>
    </row>
    <row r="3" spans="1:8" ht="15" x14ac:dyDescent="0.2">
      <c r="A3" t="s">
        <v>18</v>
      </c>
      <c r="B3">
        <v>1184.1199999999999</v>
      </c>
      <c r="C3">
        <v>42.199300000000001</v>
      </c>
      <c r="D3">
        <v>43.294199999999996</v>
      </c>
      <c r="E3">
        <v>43.285200000000003</v>
      </c>
      <c r="F3">
        <v>49711.377999999997</v>
      </c>
      <c r="G3">
        <v>152.80799999999999</v>
      </c>
      <c r="H3" s="50">
        <v>947.55</v>
      </c>
    </row>
    <row r="4" spans="1:8" ht="15" x14ac:dyDescent="0.2">
      <c r="A4" t="s">
        <v>19</v>
      </c>
      <c r="B4">
        <v>637.49869999999999</v>
      </c>
      <c r="C4">
        <v>39.156399999999998</v>
      </c>
      <c r="D4">
        <v>40.952199999999998</v>
      </c>
      <c r="E4">
        <v>40.542200000000001</v>
      </c>
      <c r="F4">
        <v>47464.154000000002</v>
      </c>
      <c r="G4">
        <v>144.251</v>
      </c>
      <c r="H4" s="50">
        <v>952.995</v>
      </c>
    </row>
    <row r="5" spans="1:8" ht="15" x14ac:dyDescent="0.2">
      <c r="A5" t="s">
        <v>20</v>
      </c>
      <c r="B5">
        <v>337.77330000000001</v>
      </c>
      <c r="C5">
        <v>36.190899999999999</v>
      </c>
      <c r="D5">
        <v>39.203000000000003</v>
      </c>
      <c r="E5">
        <v>38.436999999999998</v>
      </c>
      <c r="F5">
        <v>46153.023999999998</v>
      </c>
      <c r="G5">
        <v>139.65799999999999</v>
      </c>
      <c r="H5" s="50">
        <v>824.13599999999997</v>
      </c>
    </row>
    <row r="6" spans="1:8" ht="15" x14ac:dyDescent="0.2">
      <c r="A6" t="s">
        <v>21</v>
      </c>
      <c r="B6">
        <v>21296.847300000001</v>
      </c>
      <c r="C6">
        <v>39.582799999999999</v>
      </c>
      <c r="D6">
        <v>50.816800000000001</v>
      </c>
      <c r="E6">
        <v>49.579900000000002</v>
      </c>
      <c r="F6">
        <v>152644.73000000001</v>
      </c>
      <c r="G6">
        <v>538.49900000000002</v>
      </c>
      <c r="H6" s="50">
        <v>768.58699999999999</v>
      </c>
    </row>
    <row r="7" spans="1:8" ht="15" x14ac:dyDescent="0.2">
      <c r="A7" t="s">
        <v>22</v>
      </c>
      <c r="B7">
        <v>8518.3273000000008</v>
      </c>
      <c r="C7">
        <v>35.076099999999997</v>
      </c>
      <c r="D7">
        <v>48.473999999999997</v>
      </c>
      <c r="E7">
        <v>47.180799999999998</v>
      </c>
      <c r="F7">
        <v>118771.8</v>
      </c>
      <c r="G7">
        <v>368.18799999999999</v>
      </c>
      <c r="H7" s="50">
        <v>774.54399999999998</v>
      </c>
    </row>
    <row r="8" spans="1:8" ht="15" x14ac:dyDescent="0.2">
      <c r="A8" t="s">
        <v>23</v>
      </c>
      <c r="B8">
        <v>3673.732</v>
      </c>
      <c r="C8">
        <v>32.130400000000002</v>
      </c>
      <c r="D8">
        <v>46.865400000000001</v>
      </c>
      <c r="E8">
        <v>45.434800000000003</v>
      </c>
      <c r="F8">
        <v>93291.293000000005</v>
      </c>
      <c r="G8">
        <v>269.399</v>
      </c>
      <c r="H8" s="50">
        <v>728.84100000000001</v>
      </c>
    </row>
    <row r="9" spans="1:8" ht="15" x14ac:dyDescent="0.2">
      <c r="A9" t="s">
        <v>24</v>
      </c>
      <c r="B9">
        <v>1672.5646999999999</v>
      </c>
      <c r="C9">
        <v>29.4968</v>
      </c>
      <c r="D9">
        <v>45.5533</v>
      </c>
      <c r="E9">
        <v>44.0822</v>
      </c>
      <c r="F9">
        <v>77493.782000000007</v>
      </c>
      <c r="G9">
        <v>214.67</v>
      </c>
      <c r="H9" s="50">
        <v>753.86500000000001</v>
      </c>
    </row>
    <row r="10" spans="1:8" ht="15" x14ac:dyDescent="0.2">
      <c r="A10" t="s">
        <v>25</v>
      </c>
      <c r="B10">
        <v>7736.5240000000003</v>
      </c>
      <c r="C10">
        <v>40.708799999999997</v>
      </c>
      <c r="D10">
        <v>50.743899999999996</v>
      </c>
      <c r="E10">
        <v>50.633299999999998</v>
      </c>
      <c r="F10">
        <v>94197.630999999994</v>
      </c>
      <c r="G10">
        <v>309.01799999999997</v>
      </c>
      <c r="H10" s="50">
        <v>679.66300000000001</v>
      </c>
    </row>
    <row r="11" spans="1:8" ht="15" x14ac:dyDescent="0.2">
      <c r="A11" t="s">
        <v>26</v>
      </c>
      <c r="B11">
        <v>2941.2312999999999</v>
      </c>
      <c r="C11">
        <v>37.666200000000003</v>
      </c>
      <c r="D11">
        <v>48.846600000000002</v>
      </c>
      <c r="E11">
        <v>48.695</v>
      </c>
      <c r="F11">
        <v>71488.502999999997</v>
      </c>
      <c r="G11">
        <v>215.47499999999999</v>
      </c>
      <c r="H11" s="50">
        <v>694.76499999999999</v>
      </c>
    </row>
    <row r="12" spans="1:8" ht="15" x14ac:dyDescent="0.2">
      <c r="A12" t="s">
        <v>27</v>
      </c>
      <c r="B12">
        <v>1309.174</v>
      </c>
      <c r="C12">
        <v>35.185099999999998</v>
      </c>
      <c r="D12">
        <v>46.848700000000001</v>
      </c>
      <c r="E12">
        <v>46.6843</v>
      </c>
      <c r="F12">
        <v>62237.9</v>
      </c>
      <c r="G12">
        <v>182.5</v>
      </c>
      <c r="H12" s="50">
        <v>676.12900000000002</v>
      </c>
    </row>
    <row r="13" spans="1:8" ht="15" x14ac:dyDescent="0.2">
      <c r="A13" t="s">
        <v>28</v>
      </c>
      <c r="B13">
        <v>592.91729999999995</v>
      </c>
      <c r="C13">
        <v>32.833500000000001</v>
      </c>
      <c r="D13">
        <v>45.189</v>
      </c>
      <c r="E13">
        <v>44.887999999999998</v>
      </c>
      <c r="F13">
        <v>57229.548999999999</v>
      </c>
      <c r="G13">
        <v>167.38200000000001</v>
      </c>
      <c r="H13" s="50">
        <v>690.173</v>
      </c>
    </row>
    <row r="14" spans="1:8" ht="15" x14ac:dyDescent="0.2">
      <c r="A14" t="s">
        <v>29</v>
      </c>
      <c r="B14">
        <v>4803.2658000000001</v>
      </c>
      <c r="C14">
        <v>41.581400000000002</v>
      </c>
      <c r="D14">
        <v>43.396500000000003</v>
      </c>
      <c r="E14">
        <v>45.296100000000003</v>
      </c>
      <c r="F14">
        <v>91015.456999999995</v>
      </c>
      <c r="G14">
        <v>276.92500000000001</v>
      </c>
      <c r="H14" s="50">
        <v>551.29600000000005</v>
      </c>
    </row>
    <row r="15" spans="1:8" ht="15" x14ac:dyDescent="0.2">
      <c r="A15" t="s">
        <v>30</v>
      </c>
      <c r="B15">
        <v>2085.0100000000002</v>
      </c>
      <c r="C15">
        <v>39.680700000000002</v>
      </c>
      <c r="D15">
        <v>42.164200000000001</v>
      </c>
      <c r="E15">
        <v>43.58</v>
      </c>
      <c r="F15">
        <v>76287.716</v>
      </c>
      <c r="G15">
        <v>210.13499999999999</v>
      </c>
      <c r="H15" s="50">
        <v>539.55100000000004</v>
      </c>
    </row>
    <row r="16" spans="1:8" ht="15" x14ac:dyDescent="0.2">
      <c r="A16" t="s">
        <v>31</v>
      </c>
      <c r="B16">
        <v>1019.41</v>
      </c>
      <c r="C16">
        <v>37.397599999999997</v>
      </c>
      <c r="D16">
        <v>40.966999999999999</v>
      </c>
      <c r="E16">
        <v>42.124499999999998</v>
      </c>
      <c r="F16">
        <v>66893.682000000001</v>
      </c>
      <c r="G16">
        <v>169.923</v>
      </c>
      <c r="H16" s="50">
        <v>553.30799999999999</v>
      </c>
    </row>
    <row r="17" spans="1:8" ht="15" x14ac:dyDescent="0.2">
      <c r="A17" t="s">
        <v>32</v>
      </c>
      <c r="B17">
        <v>499.70420000000001</v>
      </c>
      <c r="C17">
        <v>34.905999999999999</v>
      </c>
      <c r="D17">
        <v>39.929900000000004</v>
      </c>
      <c r="E17">
        <v>41.145099999999999</v>
      </c>
      <c r="F17">
        <v>58780.375</v>
      </c>
      <c r="G17">
        <v>145.536</v>
      </c>
      <c r="H17" s="50">
        <v>539.12199999999996</v>
      </c>
    </row>
    <row r="18" spans="1:8" ht="15" x14ac:dyDescent="0.2">
      <c r="A18" t="s">
        <v>33</v>
      </c>
      <c r="B18">
        <v>10079.838400000001</v>
      </c>
      <c r="C18">
        <v>39.036700000000003</v>
      </c>
      <c r="D18">
        <v>43.530200000000001</v>
      </c>
      <c r="E18">
        <v>44.630299999999998</v>
      </c>
      <c r="F18">
        <v>128312.34699999999</v>
      </c>
      <c r="G18">
        <v>356.00799999999998</v>
      </c>
      <c r="H18" s="50">
        <v>573.88900000000001</v>
      </c>
    </row>
    <row r="19" spans="1:8" ht="15" x14ac:dyDescent="0.2">
      <c r="A19" t="s">
        <v>34</v>
      </c>
      <c r="B19">
        <v>3659.3872000000001</v>
      </c>
      <c r="C19">
        <v>37.177799999999998</v>
      </c>
      <c r="D19">
        <v>42.277200000000001</v>
      </c>
      <c r="E19">
        <v>42.668300000000002</v>
      </c>
      <c r="F19">
        <v>105672.515</v>
      </c>
      <c r="G19">
        <v>267.57499999999999</v>
      </c>
      <c r="H19" s="50">
        <v>569.35199999999998</v>
      </c>
    </row>
    <row r="20" spans="1:8" ht="15" x14ac:dyDescent="0.2">
      <c r="A20" t="s">
        <v>35</v>
      </c>
      <c r="B20">
        <v>1790.7384</v>
      </c>
      <c r="C20">
        <v>35.2485</v>
      </c>
      <c r="D20">
        <v>41.128100000000003</v>
      </c>
      <c r="E20">
        <v>41.102800000000002</v>
      </c>
      <c r="F20">
        <v>91607.944000000003</v>
      </c>
      <c r="G20">
        <v>204.24</v>
      </c>
      <c r="H20" s="50">
        <v>558.47699999999998</v>
      </c>
    </row>
    <row r="21" spans="1:8" ht="15" x14ac:dyDescent="0.2">
      <c r="A21" t="s">
        <v>36</v>
      </c>
      <c r="B21">
        <v>929.18640000000005</v>
      </c>
      <c r="C21">
        <v>33.083300000000001</v>
      </c>
      <c r="D21">
        <v>39.960700000000003</v>
      </c>
      <c r="E21">
        <v>39.539099999999998</v>
      </c>
      <c r="F21">
        <v>78994.553</v>
      </c>
      <c r="G21">
        <v>164.18100000000001</v>
      </c>
      <c r="H21" s="50">
        <v>568.89499999999998</v>
      </c>
    </row>
    <row r="22" spans="1:8" x14ac:dyDescent="0.15">
      <c r="A22" t="s">
        <v>37</v>
      </c>
      <c r="B22">
        <v>16668.29</v>
      </c>
      <c r="C22">
        <v>37.200899999999997</v>
      </c>
      <c r="D22">
        <v>42.145099999999999</v>
      </c>
      <c r="E22">
        <v>44.424799999999998</v>
      </c>
      <c r="F22">
        <v>126643.58500000001</v>
      </c>
      <c r="G22">
        <v>473.43099999999998</v>
      </c>
      <c r="H22" s="51">
        <v>928.71799999999996</v>
      </c>
    </row>
    <row r="23" spans="1:8" ht="15" x14ac:dyDescent="0.2">
      <c r="A23" t="s">
        <v>38</v>
      </c>
      <c r="B23">
        <v>3816.23</v>
      </c>
      <c r="C23">
        <v>35.107999999999997</v>
      </c>
      <c r="D23">
        <v>41.0715</v>
      </c>
      <c r="E23">
        <v>43.454500000000003</v>
      </c>
      <c r="F23">
        <v>76455.014999999999</v>
      </c>
      <c r="G23">
        <v>251.15199999999999</v>
      </c>
      <c r="H23" s="50">
        <v>727.74</v>
      </c>
    </row>
    <row r="24" spans="1:8" ht="15" x14ac:dyDescent="0.2">
      <c r="A24" t="s">
        <v>39</v>
      </c>
      <c r="B24">
        <v>1357.4793</v>
      </c>
      <c r="C24">
        <v>33.782299999999999</v>
      </c>
      <c r="D24">
        <v>39.784599999999998</v>
      </c>
      <c r="E24">
        <v>42.282299999999999</v>
      </c>
      <c r="F24">
        <v>63799.705999999998</v>
      </c>
      <c r="G24">
        <v>177.172</v>
      </c>
      <c r="H24" s="50">
        <v>833.55100000000004</v>
      </c>
    </row>
    <row r="25" spans="1:8" ht="15" x14ac:dyDescent="0.2">
      <c r="A25" t="s">
        <v>40</v>
      </c>
      <c r="B25">
        <v>649.36869999999999</v>
      </c>
      <c r="C25">
        <v>32.1449</v>
      </c>
      <c r="D25">
        <v>38.618000000000002</v>
      </c>
      <c r="E25">
        <v>41.184899999999999</v>
      </c>
      <c r="F25">
        <v>58019.985999999997</v>
      </c>
      <c r="G25">
        <v>154.78800000000001</v>
      </c>
      <c r="H25" s="50">
        <v>928.87699999999995</v>
      </c>
    </row>
    <row r="26" spans="1:8" x14ac:dyDescent="0.15">
      <c r="A26" t="s">
        <v>41</v>
      </c>
      <c r="B26">
        <v>10637.7667</v>
      </c>
      <c r="C26">
        <v>42.293700000000001</v>
      </c>
      <c r="D26">
        <v>41.637700000000002</v>
      </c>
      <c r="E26">
        <v>42.534700000000001</v>
      </c>
      <c r="F26">
        <v>126584.917</v>
      </c>
      <c r="G26">
        <v>405.16399999999999</v>
      </c>
      <c r="H26" s="51">
        <v>749.34299999999996</v>
      </c>
    </row>
    <row r="27" spans="1:8" ht="15" x14ac:dyDescent="0.2">
      <c r="A27" t="s">
        <v>42</v>
      </c>
      <c r="B27">
        <v>5169.1986999999999</v>
      </c>
      <c r="C27">
        <v>39.569200000000002</v>
      </c>
      <c r="D27">
        <v>38.089599999999997</v>
      </c>
      <c r="E27">
        <v>40.1419</v>
      </c>
      <c r="F27">
        <v>106484.505</v>
      </c>
      <c r="G27">
        <v>311.02600000000001</v>
      </c>
      <c r="H27" s="50">
        <v>870.68799999999999</v>
      </c>
    </row>
    <row r="28" spans="1:8" ht="15" x14ac:dyDescent="0.2">
      <c r="A28" t="s">
        <v>43</v>
      </c>
      <c r="B28">
        <v>2932.7226999999998</v>
      </c>
      <c r="C28">
        <v>36.914299999999997</v>
      </c>
      <c r="D28">
        <v>36.159700000000001</v>
      </c>
      <c r="E28">
        <v>38.3874</v>
      </c>
      <c r="F28">
        <v>93427.563999999998</v>
      </c>
      <c r="G28">
        <v>246.75700000000001</v>
      </c>
      <c r="H28" s="50">
        <v>733.24800000000005</v>
      </c>
    </row>
    <row r="29" spans="1:8" ht="15" x14ac:dyDescent="0.2">
      <c r="A29" t="s">
        <v>44</v>
      </c>
      <c r="B29">
        <v>1557.65</v>
      </c>
      <c r="C29">
        <v>34.333399999999997</v>
      </c>
      <c r="D29">
        <v>34.136800000000001</v>
      </c>
      <c r="E29">
        <v>36.690300000000001</v>
      </c>
      <c r="F29">
        <v>83017.122000000003</v>
      </c>
      <c r="G29">
        <v>205.934</v>
      </c>
      <c r="H29" s="50">
        <v>780.17200000000003</v>
      </c>
    </row>
    <row r="30" spans="1:8" x14ac:dyDescent="0.15">
      <c r="A30" t="s">
        <v>45</v>
      </c>
      <c r="B30">
        <v>13620.8</v>
      </c>
      <c r="C30">
        <v>39.998100000000001</v>
      </c>
      <c r="D30">
        <v>43.036799999999999</v>
      </c>
      <c r="E30">
        <v>43.008499999999998</v>
      </c>
      <c r="F30">
        <v>129176.681</v>
      </c>
      <c r="G30">
        <v>420.46</v>
      </c>
      <c r="H30" s="51">
        <v>753.875</v>
      </c>
    </row>
    <row r="31" spans="1:8" ht="15" x14ac:dyDescent="0.2">
      <c r="A31" t="s">
        <v>46</v>
      </c>
      <c r="B31">
        <v>6209.5439999999999</v>
      </c>
      <c r="C31">
        <v>36.919499999999999</v>
      </c>
      <c r="D31">
        <v>40.709200000000003</v>
      </c>
      <c r="E31">
        <v>40.834099999999999</v>
      </c>
      <c r="F31">
        <v>108233.47500000001</v>
      </c>
      <c r="G31">
        <v>319.53800000000001</v>
      </c>
      <c r="H31" s="50">
        <v>908.74</v>
      </c>
    </row>
    <row r="32" spans="1:8" ht="15" x14ac:dyDescent="0.2">
      <c r="A32" t="s">
        <v>47</v>
      </c>
      <c r="B32">
        <v>3055.5059999999999</v>
      </c>
      <c r="C32">
        <v>34.099299999999999</v>
      </c>
      <c r="D32">
        <v>38.7044</v>
      </c>
      <c r="E32">
        <v>38.968600000000002</v>
      </c>
      <c r="F32">
        <v>92142.604000000007</v>
      </c>
      <c r="G32">
        <v>248.11799999999999</v>
      </c>
      <c r="H32" s="50">
        <v>966.80200000000002</v>
      </c>
    </row>
    <row r="33" spans="1:8" ht="15" x14ac:dyDescent="0.2">
      <c r="A33" t="s">
        <v>48</v>
      </c>
      <c r="B33">
        <v>1471.1320000000001</v>
      </c>
      <c r="C33">
        <v>31.366700000000002</v>
      </c>
      <c r="D33">
        <v>36.9315</v>
      </c>
      <c r="E33">
        <v>37.2378</v>
      </c>
      <c r="F33">
        <v>77524.994999999995</v>
      </c>
      <c r="G33">
        <v>197.816</v>
      </c>
      <c r="H33" s="50">
        <v>868.81</v>
      </c>
    </row>
    <row r="34" spans="1:8" x14ac:dyDescent="0.15">
      <c r="A34" t="s">
        <v>49</v>
      </c>
      <c r="B34">
        <v>10744.425999999999</v>
      </c>
      <c r="C34">
        <v>40.2468</v>
      </c>
      <c r="D34">
        <v>42.3596</v>
      </c>
      <c r="E34">
        <v>43.163200000000003</v>
      </c>
      <c r="F34">
        <v>100957.95600000001</v>
      </c>
      <c r="G34">
        <v>320.60399999999998</v>
      </c>
      <c r="H34" s="51">
        <v>769.28700000000003</v>
      </c>
    </row>
    <row r="35" spans="1:8" ht="15" x14ac:dyDescent="0.2">
      <c r="A35" t="s">
        <v>50</v>
      </c>
      <c r="B35">
        <v>5285.1859999999997</v>
      </c>
      <c r="C35">
        <v>36.961500000000001</v>
      </c>
      <c r="D35">
        <v>39.692700000000002</v>
      </c>
      <c r="E35">
        <v>40.757199999999997</v>
      </c>
      <c r="F35">
        <v>84858.298999999999</v>
      </c>
      <c r="G35">
        <v>236.268</v>
      </c>
      <c r="H35" s="50">
        <v>837.21299999999997</v>
      </c>
    </row>
    <row r="36" spans="1:8" ht="15" x14ac:dyDescent="0.2">
      <c r="A36" t="s">
        <v>51</v>
      </c>
      <c r="B36">
        <v>2729.0079999999998</v>
      </c>
      <c r="C36">
        <v>33.885599999999997</v>
      </c>
      <c r="D36">
        <v>37.0837</v>
      </c>
      <c r="E36">
        <v>38.592399999999998</v>
      </c>
      <c r="F36">
        <v>75300.164000000004</v>
      </c>
      <c r="G36">
        <v>189.78299999999999</v>
      </c>
      <c r="H36" s="50">
        <v>920.81399999999996</v>
      </c>
    </row>
    <row r="37" spans="1:8" ht="15" x14ac:dyDescent="0.2">
      <c r="A37" t="s">
        <v>52</v>
      </c>
      <c r="B37">
        <v>1400.992</v>
      </c>
      <c r="C37">
        <v>30.981000000000002</v>
      </c>
      <c r="D37">
        <v>34.989600000000003</v>
      </c>
      <c r="E37">
        <v>36.945999999999998</v>
      </c>
      <c r="F37">
        <v>66572.668999999994</v>
      </c>
      <c r="G37">
        <v>159.98599999999999</v>
      </c>
      <c r="H37" s="50">
        <v>908.58199999999999</v>
      </c>
    </row>
    <row r="38" spans="1:8" x14ac:dyDescent="0.15">
      <c r="A38" t="s">
        <v>53</v>
      </c>
      <c r="B38">
        <v>4205.8747000000003</v>
      </c>
      <c r="C38">
        <v>42.104900000000001</v>
      </c>
      <c r="D38">
        <v>45.9908</v>
      </c>
      <c r="E38">
        <v>44.911799999999999</v>
      </c>
      <c r="F38">
        <v>63920.586000000003</v>
      </c>
      <c r="G38">
        <v>213.376</v>
      </c>
      <c r="H38" s="51">
        <v>704.73500000000001</v>
      </c>
    </row>
    <row r="39" spans="1:8" ht="15" x14ac:dyDescent="0.2">
      <c r="A39" t="s">
        <v>54</v>
      </c>
      <c r="B39">
        <v>2232.5807</v>
      </c>
      <c r="C39">
        <v>39.321300000000001</v>
      </c>
      <c r="D39">
        <v>43.651499999999999</v>
      </c>
      <c r="E39">
        <v>42.630200000000002</v>
      </c>
      <c r="F39">
        <v>53435.044999999998</v>
      </c>
      <c r="G39">
        <v>172.93199999999999</v>
      </c>
      <c r="H39" s="50">
        <v>760.77099999999996</v>
      </c>
    </row>
    <row r="40" spans="1:8" ht="15" x14ac:dyDescent="0.2">
      <c r="A40" t="s">
        <v>55</v>
      </c>
      <c r="B40">
        <v>1214.3620000000001</v>
      </c>
      <c r="C40">
        <v>36.275700000000001</v>
      </c>
      <c r="D40">
        <v>41.160200000000003</v>
      </c>
      <c r="E40">
        <v>40.199800000000003</v>
      </c>
      <c r="F40">
        <v>49915.690999999999</v>
      </c>
      <c r="G40">
        <v>157.74199999999999</v>
      </c>
      <c r="H40" s="50">
        <v>791.43499999999995</v>
      </c>
    </row>
    <row r="41" spans="1:8" ht="15" x14ac:dyDescent="0.2">
      <c r="A41" t="s">
        <v>56</v>
      </c>
      <c r="B41">
        <v>634.96799999999996</v>
      </c>
      <c r="C41">
        <v>33.161700000000003</v>
      </c>
      <c r="D41">
        <v>39.329700000000003</v>
      </c>
      <c r="E41">
        <v>38.545000000000002</v>
      </c>
      <c r="F41">
        <v>47664.040999999997</v>
      </c>
      <c r="G41">
        <v>144.78200000000001</v>
      </c>
      <c r="H41" s="50">
        <v>926.62300000000005</v>
      </c>
    </row>
    <row r="77" spans="2:5" x14ac:dyDescent="0.15">
      <c r="B77" s="44"/>
      <c r="C77" s="44"/>
      <c r="D77" s="44"/>
      <c r="E77" s="44"/>
    </row>
    <row r="78" spans="2:5" x14ac:dyDescent="0.15">
      <c r="B78" s="44"/>
      <c r="C78" s="44"/>
      <c r="D78" s="44"/>
      <c r="E78" s="44"/>
    </row>
    <row r="86" spans="2:7" x14ac:dyDescent="0.15">
      <c r="B86" s="44"/>
      <c r="C86" s="44"/>
      <c r="D86" s="44"/>
      <c r="E86" s="44"/>
      <c r="F86" s="44"/>
    </row>
    <row r="94" spans="2:7" x14ac:dyDescent="0.15">
      <c r="B94" s="44"/>
      <c r="C94" s="44"/>
      <c r="D94" s="44"/>
      <c r="E94" s="44"/>
      <c r="F94" s="44"/>
      <c r="G94" s="44"/>
    </row>
    <row r="209" spans="2:7" x14ac:dyDescent="0.15">
      <c r="B209" s="43"/>
      <c r="C209" s="43"/>
      <c r="D209" s="43"/>
      <c r="E209" s="43"/>
      <c r="F209" s="43"/>
      <c r="G209" s="43"/>
    </row>
    <row r="210" spans="2:7" x14ac:dyDescent="0.15">
      <c r="B210" s="43"/>
      <c r="C210" s="43"/>
      <c r="D210" s="43"/>
      <c r="E210" s="43"/>
      <c r="F210" s="43"/>
      <c r="G210" s="43"/>
    </row>
    <row r="211" spans="2:7" x14ac:dyDescent="0.15">
      <c r="B211" s="43"/>
      <c r="C211" s="43"/>
      <c r="D211" s="43"/>
      <c r="E211" s="43"/>
      <c r="F211" s="43"/>
      <c r="G211" s="43"/>
    </row>
    <row r="212" spans="2:7" x14ac:dyDescent="0.15">
      <c r="B212" s="43"/>
      <c r="C212" s="43"/>
      <c r="D212" s="43"/>
      <c r="E212" s="43"/>
      <c r="F212" s="43"/>
      <c r="G212" s="43"/>
    </row>
    <row r="213" spans="2:7" x14ac:dyDescent="0.15">
      <c r="B213" s="43"/>
      <c r="C213" s="43"/>
      <c r="D213" s="43"/>
      <c r="E213" s="43"/>
      <c r="F213" s="43"/>
      <c r="G213" s="43"/>
    </row>
    <row r="214" spans="2:7" x14ac:dyDescent="0.15">
      <c r="B214" s="43"/>
      <c r="C214" s="43"/>
      <c r="D214" s="43"/>
      <c r="E214" s="43"/>
      <c r="F214" s="43"/>
      <c r="G214" s="43"/>
    </row>
    <row r="215" spans="2:7" x14ac:dyDescent="0.15">
      <c r="B215" s="43"/>
      <c r="C215" s="43"/>
      <c r="D215" s="43"/>
      <c r="E215" s="43"/>
      <c r="F215" s="43"/>
      <c r="G215" s="43"/>
    </row>
    <row r="216" spans="2:7" x14ac:dyDescent="0.15">
      <c r="B216" s="43"/>
      <c r="C216" s="43"/>
      <c r="D216" s="43"/>
      <c r="E216" s="43"/>
      <c r="F216" s="43"/>
      <c r="G216" s="43"/>
    </row>
    <row r="217" spans="2:7" x14ac:dyDescent="0.15">
      <c r="B217" s="43"/>
      <c r="C217" s="43"/>
      <c r="D217" s="43"/>
      <c r="E217" s="43"/>
      <c r="F217" s="43"/>
      <c r="G217" s="43"/>
    </row>
    <row r="218" spans="2:7" x14ac:dyDescent="0.15">
      <c r="B218" s="43"/>
      <c r="C218" s="43"/>
      <c r="D218" s="43"/>
      <c r="E218" s="43"/>
      <c r="F218" s="43"/>
      <c r="G218" s="43"/>
    </row>
    <row r="219" spans="2:7" x14ac:dyDescent="0.15">
      <c r="B219" s="43"/>
      <c r="C219" s="43"/>
      <c r="D219" s="43"/>
      <c r="E219" s="43"/>
      <c r="F219" s="43"/>
      <c r="G219" s="43"/>
    </row>
    <row r="220" spans="2:7" x14ac:dyDescent="0.15">
      <c r="B220" s="43"/>
      <c r="C220" s="43"/>
      <c r="D220" s="43"/>
      <c r="E220" s="43"/>
      <c r="F220" s="43"/>
      <c r="G220" s="43"/>
    </row>
    <row r="221" spans="2:7" x14ac:dyDescent="0.15">
      <c r="B221" s="43"/>
      <c r="C221" s="43"/>
      <c r="D221" s="43"/>
      <c r="E221" s="43"/>
      <c r="F221" s="43"/>
      <c r="G221" s="43"/>
    </row>
    <row r="222" spans="2:7" x14ac:dyDescent="0.15">
      <c r="B222" s="43"/>
      <c r="C222" s="43"/>
      <c r="D222" s="43"/>
      <c r="E222" s="43"/>
      <c r="F222" s="43"/>
      <c r="G222" s="43"/>
    </row>
    <row r="223" spans="2:7" x14ac:dyDescent="0.15">
      <c r="B223" s="43"/>
      <c r="C223" s="43"/>
      <c r="D223" s="43"/>
      <c r="E223" s="43"/>
      <c r="F223" s="43"/>
      <c r="G223" s="43"/>
    </row>
    <row r="224" spans="2:7" x14ac:dyDescent="0.15">
      <c r="B224" s="43"/>
      <c r="C224" s="43"/>
      <c r="D224" s="43"/>
      <c r="E224" s="43"/>
      <c r="F224" s="43"/>
      <c r="G224" s="43"/>
    </row>
    <row r="225" spans="2:7" x14ac:dyDescent="0.15">
      <c r="B225" s="43"/>
      <c r="C225" s="43"/>
      <c r="D225" s="43"/>
      <c r="E225" s="43"/>
      <c r="F225" s="43"/>
      <c r="G225" s="43"/>
    </row>
    <row r="226" spans="2:7" x14ac:dyDescent="0.15">
      <c r="B226" s="43"/>
      <c r="C226" s="43"/>
      <c r="D226" s="43"/>
      <c r="E226" s="43"/>
      <c r="F226" s="43"/>
      <c r="G226" s="43"/>
    </row>
    <row r="227" spans="2:7" x14ac:dyDescent="0.15">
      <c r="B227" s="43"/>
      <c r="C227" s="43"/>
      <c r="D227" s="43"/>
      <c r="E227" s="43"/>
      <c r="F227" s="43"/>
      <c r="G227" s="43"/>
    </row>
    <row r="228" spans="2:7" x14ac:dyDescent="0.15">
      <c r="B228" s="43"/>
      <c r="C228" s="43"/>
      <c r="D228" s="43"/>
      <c r="E228" s="43"/>
      <c r="F228" s="43"/>
      <c r="G228" s="43"/>
    </row>
    <row r="229" spans="2:7" x14ac:dyDescent="0.15">
      <c r="B229" s="43"/>
      <c r="C229" s="43"/>
      <c r="D229" s="43"/>
      <c r="E229" s="43"/>
      <c r="F229" s="43"/>
      <c r="G229" s="43"/>
    </row>
    <row r="230" spans="2:7" x14ac:dyDescent="0.15">
      <c r="B230" s="43"/>
      <c r="C230" s="43"/>
      <c r="D230" s="43"/>
      <c r="E230" s="43"/>
      <c r="F230" s="43"/>
      <c r="G230" s="43"/>
    </row>
    <row r="231" spans="2:7" x14ac:dyDescent="0.15">
      <c r="B231" s="43"/>
      <c r="C231" s="43"/>
      <c r="D231" s="43"/>
      <c r="E231" s="43"/>
      <c r="F231" s="43"/>
      <c r="G231" s="43"/>
    </row>
    <row r="232" spans="2:7" x14ac:dyDescent="0.15">
      <c r="B232" s="43"/>
      <c r="C232" s="43"/>
      <c r="D232" s="43"/>
      <c r="E232" s="43"/>
      <c r="F232" s="43"/>
      <c r="G232" s="43"/>
    </row>
    <row r="233" spans="2:7" x14ac:dyDescent="0.15">
      <c r="B233" s="43"/>
      <c r="C233" s="43"/>
      <c r="D233" s="43"/>
      <c r="E233" s="43"/>
      <c r="F233" s="43"/>
      <c r="G233" s="43"/>
    </row>
    <row r="234" spans="2:7" x14ac:dyDescent="0.15">
      <c r="B234" s="43"/>
      <c r="C234" s="43"/>
      <c r="D234" s="43"/>
      <c r="E234" s="43"/>
      <c r="F234" s="43"/>
      <c r="G234" s="43"/>
    </row>
    <row r="235" spans="2:7" x14ac:dyDescent="0.15">
      <c r="B235" s="43"/>
      <c r="C235" s="43"/>
      <c r="D235" s="43"/>
      <c r="E235" s="43"/>
      <c r="F235" s="43"/>
      <c r="G235" s="43"/>
    </row>
    <row r="236" spans="2:7" x14ac:dyDescent="0.15">
      <c r="B236" s="43"/>
      <c r="C236" s="43"/>
      <c r="D236" s="43"/>
      <c r="E236" s="43"/>
      <c r="F236" s="43"/>
      <c r="G236" s="43"/>
    </row>
    <row r="237" spans="2:7" x14ac:dyDescent="0.15">
      <c r="B237" s="43"/>
      <c r="C237" s="43"/>
      <c r="D237" s="43"/>
      <c r="E237" s="43"/>
      <c r="F237" s="43"/>
      <c r="G237" s="43"/>
    </row>
    <row r="238" spans="2:7" x14ac:dyDescent="0.15">
      <c r="B238" s="43"/>
      <c r="C238" s="43"/>
      <c r="D238" s="43"/>
      <c r="E238" s="43"/>
      <c r="F238" s="43"/>
      <c r="G238" s="43"/>
    </row>
    <row r="239" spans="2:7" x14ac:dyDescent="0.15">
      <c r="B239" s="43"/>
      <c r="C239" s="43"/>
      <c r="D239" s="43"/>
      <c r="E239" s="43"/>
      <c r="F239" s="43"/>
      <c r="G239" s="43"/>
    </row>
    <row r="240" spans="2:7" x14ac:dyDescent="0.15">
      <c r="B240" s="43"/>
      <c r="C240" s="43"/>
      <c r="D240" s="43"/>
      <c r="E240" s="43"/>
      <c r="F240" s="43"/>
      <c r="G240" s="43"/>
    </row>
    <row r="241" spans="2:7" x14ac:dyDescent="0.15">
      <c r="B241" s="43"/>
      <c r="C241" s="43"/>
      <c r="D241" s="43"/>
      <c r="E241" s="43"/>
      <c r="F241" s="43"/>
      <c r="G241" s="43"/>
    </row>
    <row r="242" spans="2:7" x14ac:dyDescent="0.15">
      <c r="B242" s="43"/>
      <c r="C242" s="43"/>
      <c r="D242" s="43"/>
      <c r="E242" s="43"/>
      <c r="F242" s="43"/>
      <c r="G242" s="43"/>
    </row>
    <row r="243" spans="2:7" x14ac:dyDescent="0.15">
      <c r="B243" s="43"/>
      <c r="C243" s="43"/>
      <c r="D243" s="43"/>
      <c r="E243" s="43"/>
      <c r="F243" s="43"/>
      <c r="G243" s="43"/>
    </row>
    <row r="244" spans="2:7" x14ac:dyDescent="0.15">
      <c r="B244" s="43"/>
      <c r="C244" s="43"/>
      <c r="D244" s="43"/>
      <c r="E244" s="43"/>
      <c r="F244" s="43"/>
      <c r="G244" s="43"/>
    </row>
    <row r="245" spans="2:7" x14ac:dyDescent="0.15">
      <c r="B245" s="43"/>
      <c r="C245" s="43"/>
      <c r="D245" s="43"/>
      <c r="E245" s="43"/>
      <c r="F245" s="43"/>
      <c r="G245" s="43"/>
    </row>
    <row r="246" spans="2:7" x14ac:dyDescent="0.15">
      <c r="B246" s="43"/>
      <c r="C246" s="43"/>
      <c r="D246" s="43"/>
      <c r="E246" s="43"/>
      <c r="F246" s="43"/>
      <c r="G246" s="43"/>
    </row>
    <row r="247" spans="2:7" x14ac:dyDescent="0.15">
      <c r="B247" s="43"/>
      <c r="C247" s="43"/>
      <c r="D247" s="43"/>
      <c r="E247" s="43"/>
      <c r="F247" s="43"/>
      <c r="G247" s="43"/>
    </row>
    <row r="248" spans="2:7" x14ac:dyDescent="0.15">
      <c r="B248" s="43"/>
      <c r="C248" s="43"/>
      <c r="D248" s="43"/>
      <c r="E248" s="43"/>
      <c r="F248" s="43"/>
      <c r="G248" s="43"/>
    </row>
    <row r="249" spans="2:7" x14ac:dyDescent="0.15">
      <c r="B249" s="43"/>
      <c r="C249" s="43"/>
      <c r="D249" s="43"/>
      <c r="E249" s="43"/>
      <c r="F249" s="43"/>
      <c r="G249" s="43"/>
    </row>
    <row r="250" spans="2:7" x14ac:dyDescent="0.15">
      <c r="B250" s="43"/>
      <c r="C250" s="43"/>
      <c r="D250" s="43"/>
      <c r="E250" s="43"/>
      <c r="F250" s="43"/>
      <c r="G250" s="43"/>
    </row>
    <row r="251" spans="2:7" x14ac:dyDescent="0.15">
      <c r="B251" s="43"/>
      <c r="C251" s="43"/>
      <c r="D251" s="43"/>
      <c r="E251" s="43"/>
      <c r="F251" s="43"/>
      <c r="G251" s="43"/>
    </row>
    <row r="252" spans="2:7" x14ac:dyDescent="0.15">
      <c r="B252" s="43"/>
      <c r="C252" s="43"/>
      <c r="D252" s="43"/>
      <c r="E252" s="43"/>
      <c r="F252" s="43"/>
      <c r="G252" s="43"/>
    </row>
    <row r="253" spans="2:7" x14ac:dyDescent="0.15">
      <c r="B253" s="43"/>
      <c r="C253" s="43"/>
      <c r="D253" s="43"/>
      <c r="E253" s="43"/>
      <c r="F253" s="43"/>
      <c r="G253" s="43"/>
    </row>
    <row r="254" spans="2:7" x14ac:dyDescent="0.15">
      <c r="B254" s="43"/>
      <c r="C254" s="43"/>
      <c r="D254" s="43"/>
      <c r="E254" s="43"/>
      <c r="F254" s="43"/>
      <c r="G254" s="43"/>
    </row>
    <row r="255" spans="2:7" x14ac:dyDescent="0.15">
      <c r="B255" s="43"/>
      <c r="C255" s="43"/>
      <c r="D255" s="43"/>
      <c r="E255" s="43"/>
      <c r="F255" s="43"/>
      <c r="G255" s="43"/>
    </row>
    <row r="256" spans="2:7" x14ac:dyDescent="0.15">
      <c r="B256" s="43"/>
      <c r="C256" s="43"/>
      <c r="D256" s="43"/>
      <c r="E256" s="43"/>
      <c r="F256" s="43"/>
      <c r="G256" s="43"/>
    </row>
    <row r="257" spans="2:7" x14ac:dyDescent="0.15">
      <c r="B257" s="43"/>
      <c r="C257" s="43"/>
      <c r="D257" s="43"/>
      <c r="E257" s="43"/>
      <c r="F257" s="43"/>
      <c r="G257" s="43"/>
    </row>
    <row r="258" spans="2:7" x14ac:dyDescent="0.15">
      <c r="B258" s="43"/>
      <c r="C258" s="43"/>
      <c r="D258" s="43"/>
      <c r="E258" s="43"/>
      <c r="F258" s="43"/>
      <c r="G258" s="43"/>
    </row>
    <row r="259" spans="2:7" x14ac:dyDescent="0.15">
      <c r="B259" s="43"/>
      <c r="C259" s="43"/>
      <c r="D259" s="43"/>
      <c r="E259" s="43"/>
      <c r="F259" s="43"/>
      <c r="G259" s="43"/>
    </row>
    <row r="260" spans="2:7" x14ac:dyDescent="0.15">
      <c r="B260" s="43"/>
      <c r="C260" s="43"/>
      <c r="D260" s="43"/>
      <c r="E260" s="43"/>
      <c r="F260" s="43"/>
      <c r="G260" s="43"/>
    </row>
    <row r="261" spans="2:7" x14ac:dyDescent="0.15">
      <c r="B261" s="43"/>
      <c r="C261" s="43"/>
      <c r="D261" s="43"/>
      <c r="E261" s="43"/>
      <c r="F261" s="43"/>
      <c r="G261" s="43"/>
    </row>
    <row r="262" spans="2:7" x14ac:dyDescent="0.15">
      <c r="B262" s="43"/>
      <c r="C262" s="43"/>
      <c r="D262" s="43"/>
      <c r="E262" s="43"/>
      <c r="F262" s="43"/>
      <c r="G262" s="43"/>
    </row>
    <row r="263" spans="2:7" x14ac:dyDescent="0.15">
      <c r="B263" s="43"/>
      <c r="C263" s="43"/>
      <c r="D263" s="43"/>
      <c r="E263" s="43"/>
      <c r="F263" s="43"/>
      <c r="G263" s="43"/>
    </row>
    <row r="264" spans="2:7" x14ac:dyDescent="0.15">
      <c r="B264" s="43"/>
      <c r="C264" s="43"/>
      <c r="D264" s="43"/>
      <c r="E264" s="43"/>
      <c r="F264" s="43"/>
      <c r="G264" s="43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264"/>
  <sheetViews>
    <sheetView workbookViewId="0">
      <selection activeCell="F52" sqref="F52"/>
    </sheetView>
  </sheetViews>
  <sheetFormatPr defaultColWidth="9" defaultRowHeight="14.25" x14ac:dyDescent="0.15"/>
  <cols>
    <col min="1" max="1" width="37.25" customWidth="1"/>
    <col min="2" max="2" width="14.875" bestFit="1" customWidth="1"/>
    <col min="6" max="6" width="22.5" customWidth="1"/>
    <col min="7" max="7" width="22" customWidth="1"/>
  </cols>
  <sheetData>
    <row r="1" spans="1:9" x14ac:dyDescent="0.15">
      <c r="A1" s="49" t="s">
        <v>71</v>
      </c>
      <c r="B1" s="49" t="s">
        <v>72</v>
      </c>
      <c r="C1" s="49" t="s">
        <v>5</v>
      </c>
      <c r="D1" s="49" t="s">
        <v>6</v>
      </c>
      <c r="E1" s="49" t="s">
        <v>7</v>
      </c>
      <c r="F1" s="49" t="s">
        <v>73</v>
      </c>
      <c r="G1" s="49" t="s">
        <v>74</v>
      </c>
    </row>
    <row r="2" spans="1:9" ht="15" x14ac:dyDescent="0.2">
      <c r="A2" t="s">
        <v>17</v>
      </c>
      <c r="B2">
        <v>2127.4947000000002</v>
      </c>
      <c r="C2">
        <v>45.286000000000001</v>
      </c>
      <c r="D2">
        <v>46.344999999999999</v>
      </c>
      <c r="E2">
        <v>46.813000000000002</v>
      </c>
      <c r="F2">
        <v>53519.71</v>
      </c>
      <c r="G2">
        <f>H2+I2</f>
        <v>632.60500000000002</v>
      </c>
      <c r="H2" s="50">
        <v>479.37900000000002</v>
      </c>
      <c r="I2">
        <v>153.226</v>
      </c>
    </row>
    <row r="3" spans="1:9" ht="15" x14ac:dyDescent="0.2">
      <c r="A3" t="s">
        <v>18</v>
      </c>
      <c r="B3">
        <v>1184.1199999999999</v>
      </c>
      <c r="C3">
        <v>42.6477</v>
      </c>
      <c r="D3">
        <v>44.401299999999999</v>
      </c>
      <c r="E3">
        <v>44.673200000000001</v>
      </c>
      <c r="F3">
        <v>49711.377999999997</v>
      </c>
      <c r="G3">
        <f t="shared" ref="G3:G41" si="0">H3+I3</f>
        <v>626.29600000000005</v>
      </c>
      <c r="H3" s="50">
        <v>473.488</v>
      </c>
      <c r="I3">
        <v>152.80799999999999</v>
      </c>
    </row>
    <row r="4" spans="1:9" ht="15" x14ac:dyDescent="0.2">
      <c r="A4" t="s">
        <v>19</v>
      </c>
      <c r="B4">
        <v>637.49869999999999</v>
      </c>
      <c r="C4">
        <v>39.617899999999999</v>
      </c>
      <c r="D4">
        <v>42.097900000000003</v>
      </c>
      <c r="E4">
        <v>41.9908</v>
      </c>
      <c r="F4">
        <v>47464.154000000002</v>
      </c>
      <c r="G4">
        <f t="shared" si="0"/>
        <v>629.99599999999998</v>
      </c>
      <c r="H4" s="50">
        <v>485.745</v>
      </c>
      <c r="I4">
        <v>144.251</v>
      </c>
    </row>
    <row r="5" spans="1:9" ht="15" x14ac:dyDescent="0.2">
      <c r="A5" t="s">
        <v>20</v>
      </c>
      <c r="B5">
        <v>337.77330000000001</v>
      </c>
      <c r="C5">
        <v>36.5976</v>
      </c>
      <c r="D5">
        <v>40.315199999999997</v>
      </c>
      <c r="E5">
        <v>39.9</v>
      </c>
      <c r="F5">
        <v>46153.023999999998</v>
      </c>
      <c r="G5">
        <f t="shared" si="0"/>
        <v>613.49</v>
      </c>
      <c r="H5" s="50">
        <v>473.83199999999999</v>
      </c>
      <c r="I5">
        <v>139.65799999999999</v>
      </c>
    </row>
    <row r="6" spans="1:9" ht="15" x14ac:dyDescent="0.2">
      <c r="A6" t="s">
        <v>21</v>
      </c>
      <c r="B6">
        <v>21296.847300000001</v>
      </c>
      <c r="C6">
        <v>39.6935</v>
      </c>
      <c r="D6">
        <v>50.961799999999997</v>
      </c>
      <c r="E6">
        <v>49.570900000000002</v>
      </c>
      <c r="F6">
        <v>152644.73000000001</v>
      </c>
      <c r="G6">
        <f t="shared" si="0"/>
        <v>1033.3910000000001</v>
      </c>
      <c r="H6" s="50">
        <v>494.892</v>
      </c>
      <c r="I6">
        <v>538.49900000000002</v>
      </c>
    </row>
    <row r="7" spans="1:9" ht="15" x14ac:dyDescent="0.2">
      <c r="A7" t="s">
        <v>22</v>
      </c>
      <c r="B7">
        <v>8518.3273000000008</v>
      </c>
      <c r="C7">
        <v>35.22</v>
      </c>
      <c r="D7">
        <v>48.7958</v>
      </c>
      <c r="E7">
        <v>47.451799999999999</v>
      </c>
      <c r="F7">
        <v>118771.8</v>
      </c>
      <c r="G7">
        <f t="shared" si="0"/>
        <v>862.42200000000003</v>
      </c>
      <c r="H7" s="50">
        <v>494.23399999999998</v>
      </c>
      <c r="I7">
        <v>368.18799999999999</v>
      </c>
    </row>
    <row r="8" spans="1:9" ht="15" x14ac:dyDescent="0.2">
      <c r="A8" t="s">
        <v>23</v>
      </c>
      <c r="B8">
        <v>3673.732</v>
      </c>
      <c r="C8">
        <v>32.310299999999998</v>
      </c>
      <c r="D8">
        <v>47.177199999999999</v>
      </c>
      <c r="E8">
        <v>45.654299999999999</v>
      </c>
      <c r="F8">
        <v>93291.293000000005</v>
      </c>
      <c r="G8">
        <f t="shared" si="0"/>
        <v>754.74599999999998</v>
      </c>
      <c r="H8" s="50">
        <v>485.34699999999998</v>
      </c>
      <c r="I8">
        <v>269.399</v>
      </c>
    </row>
    <row r="9" spans="1:9" ht="15" x14ac:dyDescent="0.2">
      <c r="A9" t="s">
        <v>24</v>
      </c>
      <c r="B9">
        <v>1672.5646999999999</v>
      </c>
      <c r="C9">
        <v>29.674199999999999</v>
      </c>
      <c r="D9">
        <v>46.006799999999998</v>
      </c>
      <c r="E9">
        <v>44.414099999999998</v>
      </c>
      <c r="F9">
        <v>77493.782000000007</v>
      </c>
      <c r="G9">
        <f t="shared" si="0"/>
        <v>711.86500000000001</v>
      </c>
      <c r="H9" s="50">
        <v>497.19499999999999</v>
      </c>
      <c r="I9">
        <v>214.67</v>
      </c>
    </row>
    <row r="10" spans="1:9" ht="15" x14ac:dyDescent="0.2">
      <c r="A10" t="s">
        <v>25</v>
      </c>
      <c r="B10">
        <v>7736.5240000000003</v>
      </c>
      <c r="C10">
        <v>40.869599999999998</v>
      </c>
      <c r="D10">
        <v>50.887999999999998</v>
      </c>
      <c r="E10">
        <v>50.855400000000003</v>
      </c>
      <c r="F10">
        <v>94197.630999999994</v>
      </c>
      <c r="G10">
        <f t="shared" si="0"/>
        <v>789.38599999999997</v>
      </c>
      <c r="H10" s="50">
        <v>480.36799999999999</v>
      </c>
      <c r="I10">
        <v>309.01799999999997</v>
      </c>
    </row>
    <row r="11" spans="1:9" ht="15" x14ac:dyDescent="0.2">
      <c r="A11" t="s">
        <v>26</v>
      </c>
      <c r="B11">
        <v>2941.2312999999999</v>
      </c>
      <c r="C11">
        <v>37.822800000000001</v>
      </c>
      <c r="D11">
        <v>49.301600000000001</v>
      </c>
      <c r="E11">
        <v>49.139400000000002</v>
      </c>
      <c r="F11">
        <v>71488.502999999997</v>
      </c>
      <c r="G11">
        <f t="shared" si="0"/>
        <v>712.33899999999994</v>
      </c>
      <c r="H11" s="50">
        <v>496.86399999999998</v>
      </c>
      <c r="I11">
        <v>215.47499999999999</v>
      </c>
    </row>
    <row r="12" spans="1:9" ht="15" x14ac:dyDescent="0.2">
      <c r="A12" t="s">
        <v>27</v>
      </c>
      <c r="B12">
        <v>1309.174</v>
      </c>
      <c r="C12">
        <v>35.369599999999998</v>
      </c>
      <c r="D12">
        <v>47.457299999999996</v>
      </c>
      <c r="E12">
        <v>47.135599999999997</v>
      </c>
      <c r="F12">
        <v>62237.9</v>
      </c>
      <c r="G12">
        <f t="shared" si="0"/>
        <v>672.82100000000003</v>
      </c>
      <c r="H12" s="50">
        <v>490.32100000000003</v>
      </c>
      <c r="I12">
        <v>182.5</v>
      </c>
    </row>
    <row r="13" spans="1:9" ht="15" x14ac:dyDescent="0.2">
      <c r="A13" t="s">
        <v>28</v>
      </c>
      <c r="B13">
        <v>592.91729999999995</v>
      </c>
      <c r="C13">
        <v>33.017600000000002</v>
      </c>
      <c r="D13">
        <v>46.061300000000003</v>
      </c>
      <c r="E13">
        <v>45.583500000000001</v>
      </c>
      <c r="F13">
        <v>57229.548999999999</v>
      </c>
      <c r="G13">
        <f t="shared" si="0"/>
        <v>651.92900000000009</v>
      </c>
      <c r="H13" s="50">
        <v>484.54700000000003</v>
      </c>
      <c r="I13">
        <v>167.38200000000001</v>
      </c>
    </row>
    <row r="14" spans="1:9" ht="15" x14ac:dyDescent="0.2">
      <c r="A14" t="s">
        <v>29</v>
      </c>
      <c r="B14">
        <v>4803.2658000000001</v>
      </c>
      <c r="C14">
        <v>41.720500000000001</v>
      </c>
      <c r="D14">
        <v>43.722499999999997</v>
      </c>
      <c r="E14">
        <v>45.543599999999998</v>
      </c>
      <c r="F14">
        <v>91015.456999999995</v>
      </c>
      <c r="G14">
        <f t="shared" si="0"/>
        <v>670.6690000000001</v>
      </c>
      <c r="H14" s="50">
        <v>393.74400000000003</v>
      </c>
      <c r="I14">
        <v>276.92500000000001</v>
      </c>
    </row>
    <row r="15" spans="1:9" ht="15" x14ac:dyDescent="0.2">
      <c r="A15" t="s">
        <v>30</v>
      </c>
      <c r="B15">
        <v>2085.0100000000002</v>
      </c>
      <c r="C15">
        <v>39.821199999999997</v>
      </c>
      <c r="D15">
        <v>42.65</v>
      </c>
      <c r="E15">
        <v>43.854399999999998</v>
      </c>
      <c r="F15">
        <v>76287.716</v>
      </c>
      <c r="G15">
        <f t="shared" si="0"/>
        <v>591.83199999999999</v>
      </c>
      <c r="H15" s="50">
        <v>381.697</v>
      </c>
      <c r="I15">
        <v>210.13499999999999</v>
      </c>
    </row>
    <row r="16" spans="1:9" ht="15" x14ac:dyDescent="0.2">
      <c r="A16" t="s">
        <v>31</v>
      </c>
      <c r="B16">
        <v>1019.41</v>
      </c>
      <c r="C16">
        <v>37.551200000000001</v>
      </c>
      <c r="D16">
        <v>41.526299999999999</v>
      </c>
      <c r="E16">
        <v>42.3887</v>
      </c>
      <c r="F16">
        <v>66893.682000000001</v>
      </c>
      <c r="G16">
        <f t="shared" si="0"/>
        <v>556.10699999999997</v>
      </c>
      <c r="H16" s="50">
        <v>386.18400000000003</v>
      </c>
      <c r="I16">
        <v>169.923</v>
      </c>
    </row>
    <row r="17" spans="1:9" ht="15" x14ac:dyDescent="0.2">
      <c r="A17" t="s">
        <v>32</v>
      </c>
      <c r="B17">
        <v>499.70420000000001</v>
      </c>
      <c r="C17">
        <v>35.048699999999997</v>
      </c>
      <c r="D17">
        <v>40.602400000000003</v>
      </c>
      <c r="E17">
        <v>41.389699999999998</v>
      </c>
      <c r="F17">
        <v>58780.375</v>
      </c>
      <c r="G17">
        <f t="shared" si="0"/>
        <v>537.83300000000008</v>
      </c>
      <c r="H17" s="50">
        <v>392.29700000000003</v>
      </c>
      <c r="I17">
        <v>145.536</v>
      </c>
    </row>
    <row r="18" spans="1:9" ht="15" x14ac:dyDescent="0.2">
      <c r="A18" t="s">
        <v>33</v>
      </c>
      <c r="B18">
        <v>10079.838400000001</v>
      </c>
      <c r="C18">
        <v>39.151499999999999</v>
      </c>
      <c r="D18">
        <v>43.872700000000002</v>
      </c>
      <c r="E18">
        <v>45.2502</v>
      </c>
      <c r="F18">
        <v>128312.34699999999</v>
      </c>
      <c r="G18">
        <f t="shared" si="0"/>
        <v>752.05399999999997</v>
      </c>
      <c r="H18" s="50">
        <v>396.04599999999999</v>
      </c>
      <c r="I18">
        <v>356.00799999999998</v>
      </c>
    </row>
    <row r="19" spans="1:9" ht="15" x14ac:dyDescent="0.2">
      <c r="A19" t="s">
        <v>34</v>
      </c>
      <c r="B19">
        <v>3659.3872000000001</v>
      </c>
      <c r="C19">
        <v>37.352899999999998</v>
      </c>
      <c r="D19">
        <v>42.820099999999996</v>
      </c>
      <c r="E19">
        <v>43.466200000000001</v>
      </c>
      <c r="F19">
        <v>105672.515</v>
      </c>
      <c r="G19">
        <f t="shared" si="0"/>
        <v>672.18499999999995</v>
      </c>
      <c r="H19" s="50">
        <v>404.61</v>
      </c>
      <c r="I19">
        <v>267.57499999999999</v>
      </c>
    </row>
    <row r="20" spans="1:9" ht="15" x14ac:dyDescent="0.2">
      <c r="A20" t="s">
        <v>35</v>
      </c>
      <c r="B20">
        <v>1790.7384</v>
      </c>
      <c r="C20">
        <v>35.481999999999999</v>
      </c>
      <c r="D20">
        <v>41.748699999999999</v>
      </c>
      <c r="E20">
        <v>41.957000000000001</v>
      </c>
      <c r="F20">
        <v>91607.944000000003</v>
      </c>
      <c r="G20">
        <f t="shared" si="0"/>
        <v>611.68299999999999</v>
      </c>
      <c r="H20" s="50">
        <v>407.44299999999998</v>
      </c>
      <c r="I20">
        <v>204.24</v>
      </c>
    </row>
    <row r="21" spans="1:9" ht="15" x14ac:dyDescent="0.2">
      <c r="A21" t="s">
        <v>36</v>
      </c>
      <c r="B21">
        <v>929.18640000000005</v>
      </c>
      <c r="C21">
        <v>33.333599999999997</v>
      </c>
      <c r="D21">
        <v>40.526800000000001</v>
      </c>
      <c r="E21">
        <v>40.438699999999997</v>
      </c>
      <c r="F21">
        <v>78994.553</v>
      </c>
      <c r="G21">
        <f t="shared" si="0"/>
        <v>560.13900000000001</v>
      </c>
      <c r="H21" s="50">
        <v>395.95800000000003</v>
      </c>
      <c r="I21">
        <v>164.18100000000001</v>
      </c>
    </row>
    <row r="22" spans="1:9" ht="15" x14ac:dyDescent="0.2">
      <c r="A22" t="s">
        <v>37</v>
      </c>
      <c r="B22">
        <v>16668.29</v>
      </c>
      <c r="C22">
        <v>37.297199999999997</v>
      </c>
      <c r="D22">
        <v>42.536799999999999</v>
      </c>
      <c r="E22">
        <v>44.761699999999998</v>
      </c>
      <c r="F22">
        <v>126643.58500000001</v>
      </c>
      <c r="G22">
        <f t="shared" si="0"/>
        <v>960.14799999999991</v>
      </c>
      <c r="H22" s="50">
        <v>486.71699999999998</v>
      </c>
      <c r="I22">
        <v>473.43099999999998</v>
      </c>
    </row>
    <row r="23" spans="1:9" ht="15" x14ac:dyDescent="0.2">
      <c r="A23" t="s">
        <v>38</v>
      </c>
      <c r="B23">
        <v>3816.23</v>
      </c>
      <c r="C23">
        <v>35.273899999999998</v>
      </c>
      <c r="D23">
        <v>41.572600000000001</v>
      </c>
      <c r="E23">
        <v>43.856699999999996</v>
      </c>
      <c r="F23">
        <v>76455.014999999999</v>
      </c>
      <c r="G23">
        <f t="shared" si="0"/>
        <v>732.66499999999996</v>
      </c>
      <c r="H23" s="50">
        <v>481.51299999999998</v>
      </c>
      <c r="I23">
        <v>251.15199999999999</v>
      </c>
    </row>
    <row r="24" spans="1:9" ht="15" x14ac:dyDescent="0.2">
      <c r="A24" t="s">
        <v>39</v>
      </c>
      <c r="B24">
        <v>1357.4793</v>
      </c>
      <c r="C24">
        <v>34.0396</v>
      </c>
      <c r="D24">
        <v>40.244199999999999</v>
      </c>
      <c r="E24">
        <v>42.6693</v>
      </c>
      <c r="F24">
        <v>63799.705999999998</v>
      </c>
      <c r="G24">
        <f t="shared" si="0"/>
        <v>660.38900000000001</v>
      </c>
      <c r="H24" s="50">
        <v>483.21699999999998</v>
      </c>
      <c r="I24">
        <v>177.172</v>
      </c>
    </row>
    <row r="25" spans="1:9" ht="15" x14ac:dyDescent="0.2">
      <c r="A25" t="s">
        <v>40</v>
      </c>
      <c r="B25">
        <v>649.36869999999999</v>
      </c>
      <c r="C25">
        <v>32.499499999999998</v>
      </c>
      <c r="D25">
        <v>39.088799999999999</v>
      </c>
      <c r="E25">
        <v>41.648800000000001</v>
      </c>
      <c r="F25">
        <v>58019.985999999997</v>
      </c>
      <c r="G25">
        <f t="shared" si="0"/>
        <v>639.21</v>
      </c>
      <c r="H25" s="50">
        <v>484.42200000000003</v>
      </c>
      <c r="I25">
        <v>154.78800000000001</v>
      </c>
    </row>
    <row r="26" spans="1:9" ht="15" x14ac:dyDescent="0.2">
      <c r="A26" t="s">
        <v>41</v>
      </c>
      <c r="B26">
        <v>10637.7667</v>
      </c>
      <c r="C26">
        <v>42.442999999999998</v>
      </c>
      <c r="D26">
        <v>42.639099999999999</v>
      </c>
      <c r="E26">
        <v>43.613199999999999</v>
      </c>
      <c r="F26">
        <v>126584.917</v>
      </c>
      <c r="G26">
        <f t="shared" si="0"/>
        <v>880.27199999999993</v>
      </c>
      <c r="H26" s="50">
        <v>475.108</v>
      </c>
      <c r="I26">
        <v>405.16399999999999</v>
      </c>
    </row>
    <row r="27" spans="1:9" ht="15" x14ac:dyDescent="0.2">
      <c r="A27" t="s">
        <v>42</v>
      </c>
      <c r="B27">
        <v>5169.1986999999999</v>
      </c>
      <c r="C27">
        <v>39.738300000000002</v>
      </c>
      <c r="D27">
        <v>39.129199999999997</v>
      </c>
      <c r="E27">
        <v>41.427399999999999</v>
      </c>
      <c r="F27">
        <v>106484.505</v>
      </c>
      <c r="G27">
        <f t="shared" si="0"/>
        <v>795.38100000000009</v>
      </c>
      <c r="H27" s="50">
        <v>484.35500000000002</v>
      </c>
      <c r="I27">
        <v>311.02600000000001</v>
      </c>
    </row>
    <row r="28" spans="1:9" ht="15" x14ac:dyDescent="0.2">
      <c r="A28" t="s">
        <v>43</v>
      </c>
      <c r="B28">
        <v>2932.7226999999998</v>
      </c>
      <c r="C28">
        <v>37.0899</v>
      </c>
      <c r="D28">
        <v>37.2117</v>
      </c>
      <c r="E28">
        <v>39.9011</v>
      </c>
      <c r="F28">
        <v>93427.563999999998</v>
      </c>
      <c r="G28">
        <f t="shared" si="0"/>
        <v>720.96500000000003</v>
      </c>
      <c r="H28" s="50">
        <v>474.20800000000003</v>
      </c>
      <c r="I28">
        <v>246.75700000000001</v>
      </c>
    </row>
    <row r="29" spans="1:9" ht="15" x14ac:dyDescent="0.2">
      <c r="A29" t="s">
        <v>44</v>
      </c>
      <c r="B29">
        <v>1557.65</v>
      </c>
      <c r="C29">
        <v>34.483899999999998</v>
      </c>
      <c r="D29">
        <v>35.022199999999998</v>
      </c>
      <c r="E29">
        <v>37.995800000000003</v>
      </c>
      <c r="F29">
        <v>83017.122000000003</v>
      </c>
      <c r="G29">
        <f t="shared" si="0"/>
        <v>692.12</v>
      </c>
      <c r="H29" s="50">
        <v>486.18599999999998</v>
      </c>
      <c r="I29">
        <v>205.934</v>
      </c>
    </row>
    <row r="30" spans="1:9" ht="15" x14ac:dyDescent="0.2">
      <c r="A30" t="s">
        <v>45</v>
      </c>
      <c r="B30">
        <v>13620.8</v>
      </c>
      <c r="C30">
        <v>40.186599999999999</v>
      </c>
      <c r="D30">
        <v>43.697899999999997</v>
      </c>
      <c r="E30">
        <v>43.5505</v>
      </c>
      <c r="F30">
        <v>129176.681</v>
      </c>
      <c r="G30">
        <f t="shared" si="0"/>
        <v>898.59500000000003</v>
      </c>
      <c r="H30" s="50">
        <v>478.13499999999999</v>
      </c>
      <c r="I30">
        <v>420.46</v>
      </c>
    </row>
    <row r="31" spans="1:9" ht="15" x14ac:dyDescent="0.2">
      <c r="A31" t="s">
        <v>46</v>
      </c>
      <c r="B31">
        <v>6209.5439999999999</v>
      </c>
      <c r="C31">
        <v>37.155000000000001</v>
      </c>
      <c r="D31">
        <v>41.547699999999999</v>
      </c>
      <c r="E31">
        <v>41.551299999999998</v>
      </c>
      <c r="F31">
        <v>108233.47500000001</v>
      </c>
      <c r="G31">
        <f t="shared" si="0"/>
        <v>808.75199999999995</v>
      </c>
      <c r="H31" s="50">
        <v>489.214</v>
      </c>
      <c r="I31">
        <v>319.53800000000001</v>
      </c>
    </row>
    <row r="32" spans="1:9" ht="15" x14ac:dyDescent="0.2">
      <c r="A32" t="s">
        <v>47</v>
      </c>
      <c r="B32">
        <v>3055.5059999999999</v>
      </c>
      <c r="C32">
        <v>34.344999999999999</v>
      </c>
      <c r="D32">
        <v>39.569699999999997</v>
      </c>
      <c r="E32">
        <v>39.754199999999997</v>
      </c>
      <c r="F32">
        <v>92142.604000000007</v>
      </c>
      <c r="G32">
        <f t="shared" si="0"/>
        <v>729.78600000000006</v>
      </c>
      <c r="H32" s="50">
        <v>481.66800000000001</v>
      </c>
      <c r="I32">
        <v>248.11799999999999</v>
      </c>
    </row>
    <row r="33" spans="1:9" ht="15" x14ac:dyDescent="0.2">
      <c r="A33" t="s">
        <v>48</v>
      </c>
      <c r="B33">
        <v>1471.1320000000001</v>
      </c>
      <c r="C33">
        <v>31.582000000000001</v>
      </c>
      <c r="D33">
        <v>37.691899999999997</v>
      </c>
      <c r="E33">
        <v>37.969499999999996</v>
      </c>
      <c r="F33">
        <v>77524.994999999995</v>
      </c>
      <c r="G33">
        <f t="shared" si="0"/>
        <v>683.06000000000006</v>
      </c>
      <c r="H33" s="50">
        <v>485.24400000000003</v>
      </c>
      <c r="I33">
        <v>197.816</v>
      </c>
    </row>
    <row r="34" spans="1:9" ht="15" x14ac:dyDescent="0.2">
      <c r="A34" t="s">
        <v>49</v>
      </c>
      <c r="B34">
        <v>10744.425999999999</v>
      </c>
      <c r="C34">
        <v>40.448099999999997</v>
      </c>
      <c r="D34">
        <v>42.959400000000002</v>
      </c>
      <c r="E34">
        <v>43.813000000000002</v>
      </c>
      <c r="F34">
        <v>100957.95600000001</v>
      </c>
      <c r="G34">
        <f t="shared" si="0"/>
        <v>805.12099999999998</v>
      </c>
      <c r="H34" s="50">
        <v>484.517</v>
      </c>
      <c r="I34">
        <v>320.60399999999998</v>
      </c>
    </row>
    <row r="35" spans="1:9" ht="15" x14ac:dyDescent="0.2">
      <c r="A35" t="s">
        <v>50</v>
      </c>
      <c r="B35">
        <v>5285.1859999999997</v>
      </c>
      <c r="C35">
        <v>37.225900000000003</v>
      </c>
      <c r="D35">
        <v>40.498800000000003</v>
      </c>
      <c r="E35">
        <v>41.4679</v>
      </c>
      <c r="F35">
        <v>84858.298999999999</v>
      </c>
      <c r="G35">
        <f t="shared" si="0"/>
        <v>721.12300000000005</v>
      </c>
      <c r="H35" s="50">
        <v>484.85500000000002</v>
      </c>
      <c r="I35">
        <v>236.268</v>
      </c>
    </row>
    <row r="36" spans="1:9" ht="15" x14ac:dyDescent="0.2">
      <c r="A36" t="s">
        <v>51</v>
      </c>
      <c r="B36">
        <v>2729.0079999999998</v>
      </c>
      <c r="C36">
        <v>34.149099999999997</v>
      </c>
      <c r="D36">
        <v>37.970599999999997</v>
      </c>
      <c r="E36">
        <v>39.255200000000002</v>
      </c>
      <c r="F36">
        <v>75300.164000000004</v>
      </c>
      <c r="G36">
        <f t="shared" si="0"/>
        <v>681.66399999999999</v>
      </c>
      <c r="H36" s="50">
        <v>491.88099999999997</v>
      </c>
      <c r="I36">
        <v>189.78299999999999</v>
      </c>
    </row>
    <row r="37" spans="1:9" ht="15" x14ac:dyDescent="0.2">
      <c r="A37" t="s">
        <v>52</v>
      </c>
      <c r="B37">
        <v>1400.992</v>
      </c>
      <c r="C37">
        <v>31.221800000000002</v>
      </c>
      <c r="D37">
        <v>35.830300000000001</v>
      </c>
      <c r="E37">
        <v>37.5501</v>
      </c>
      <c r="F37">
        <v>66572.668999999994</v>
      </c>
      <c r="G37">
        <f t="shared" si="0"/>
        <v>639.76199999999994</v>
      </c>
      <c r="H37" s="50">
        <v>479.77600000000001</v>
      </c>
      <c r="I37">
        <v>159.98599999999999</v>
      </c>
    </row>
    <row r="38" spans="1:9" ht="15" x14ac:dyDescent="0.2">
      <c r="A38" t="s">
        <v>53</v>
      </c>
      <c r="B38">
        <v>4205.8747000000003</v>
      </c>
      <c r="C38">
        <v>42.188000000000002</v>
      </c>
      <c r="D38">
        <v>47.473199999999999</v>
      </c>
      <c r="E38">
        <v>45.685499999999998</v>
      </c>
      <c r="F38">
        <v>63920.586000000003</v>
      </c>
      <c r="G38">
        <f t="shared" si="0"/>
        <v>703.29700000000003</v>
      </c>
      <c r="H38" s="50">
        <v>489.92099999999999</v>
      </c>
      <c r="I38">
        <v>213.376</v>
      </c>
    </row>
    <row r="39" spans="1:9" ht="15" x14ac:dyDescent="0.2">
      <c r="A39" t="s">
        <v>54</v>
      </c>
      <c r="B39">
        <v>2232.5807</v>
      </c>
      <c r="C39">
        <v>39.526200000000003</v>
      </c>
      <c r="D39">
        <v>45.464199999999998</v>
      </c>
      <c r="E39">
        <v>43.363100000000003</v>
      </c>
      <c r="F39">
        <v>53435.044999999998</v>
      </c>
      <c r="G39">
        <f t="shared" si="0"/>
        <v>652.28</v>
      </c>
      <c r="H39" s="50">
        <v>479.34800000000001</v>
      </c>
      <c r="I39">
        <v>172.93199999999999</v>
      </c>
    </row>
    <row r="40" spans="1:9" ht="15" x14ac:dyDescent="0.2">
      <c r="A40" t="s">
        <v>55</v>
      </c>
      <c r="B40">
        <v>1214.3620000000001</v>
      </c>
      <c r="C40">
        <v>36.594999999999999</v>
      </c>
      <c r="D40">
        <v>42.910400000000003</v>
      </c>
      <c r="E40">
        <v>40.874400000000001</v>
      </c>
      <c r="F40">
        <v>49915.690999999999</v>
      </c>
      <c r="G40">
        <f t="shared" si="0"/>
        <v>649.22299999999996</v>
      </c>
      <c r="H40" s="50">
        <v>491.48099999999999</v>
      </c>
      <c r="I40">
        <v>157.74199999999999</v>
      </c>
    </row>
    <row r="41" spans="1:9" ht="15" x14ac:dyDescent="0.2">
      <c r="A41" t="s">
        <v>56</v>
      </c>
      <c r="B41">
        <v>634.96799999999996</v>
      </c>
      <c r="C41">
        <v>33.523400000000002</v>
      </c>
      <c r="D41">
        <v>40.795699999999997</v>
      </c>
      <c r="E41">
        <v>39.069699999999997</v>
      </c>
      <c r="F41">
        <v>47664.040999999997</v>
      </c>
      <c r="G41">
        <f t="shared" si="0"/>
        <v>624.774</v>
      </c>
      <c r="H41" s="50">
        <v>479.99200000000002</v>
      </c>
      <c r="I41">
        <v>144.78200000000001</v>
      </c>
    </row>
    <row r="77" spans="2:5" x14ac:dyDescent="0.15">
      <c r="B77" s="44"/>
      <c r="C77" s="44"/>
      <c r="D77" s="44"/>
      <c r="E77" s="44"/>
    </row>
    <row r="78" spans="2:5" x14ac:dyDescent="0.15">
      <c r="B78" s="44"/>
      <c r="C78" s="44"/>
      <c r="D78" s="44"/>
      <c r="E78" s="44"/>
    </row>
    <row r="86" spans="2:7" x14ac:dyDescent="0.15">
      <c r="B86" s="44"/>
      <c r="C86" s="44"/>
      <c r="D86" s="44"/>
      <c r="E86" s="44"/>
      <c r="F86" s="44"/>
    </row>
    <row r="94" spans="2:7" x14ac:dyDescent="0.15">
      <c r="B94" s="44"/>
      <c r="C94" s="44"/>
      <c r="D94" s="44"/>
      <c r="E94" s="44"/>
      <c r="F94" s="44"/>
      <c r="G94" s="44"/>
    </row>
    <row r="105" spans="2:7" x14ac:dyDescent="0.15">
      <c r="B105" s="43"/>
      <c r="C105" s="43"/>
      <c r="D105" s="43"/>
      <c r="E105" s="43"/>
      <c r="F105" s="43"/>
      <c r="G105" s="43"/>
    </row>
    <row r="106" spans="2:7" x14ac:dyDescent="0.15">
      <c r="B106" s="43"/>
      <c r="C106" s="43"/>
      <c r="D106" s="43"/>
      <c r="E106" s="43"/>
      <c r="F106" s="43"/>
      <c r="G106" s="43"/>
    </row>
    <row r="107" spans="2:7" x14ac:dyDescent="0.15">
      <c r="B107" s="43"/>
      <c r="C107" s="43"/>
      <c r="D107" s="43"/>
      <c r="E107" s="43"/>
      <c r="F107" s="43"/>
      <c r="G107" s="43"/>
    </row>
    <row r="108" spans="2:7" x14ac:dyDescent="0.15">
      <c r="B108" s="43"/>
      <c r="C108" s="43"/>
      <c r="D108" s="43"/>
      <c r="E108" s="43"/>
      <c r="F108" s="43"/>
      <c r="G108" s="43"/>
    </row>
    <row r="109" spans="2:7" x14ac:dyDescent="0.15">
      <c r="B109" s="43"/>
      <c r="C109" s="43"/>
      <c r="D109" s="43"/>
      <c r="E109" s="43"/>
      <c r="F109" s="43"/>
      <c r="G109" s="43"/>
    </row>
    <row r="110" spans="2:7" x14ac:dyDescent="0.15">
      <c r="B110" s="43"/>
      <c r="C110" s="43"/>
      <c r="D110" s="43"/>
      <c r="E110" s="43"/>
      <c r="F110" s="43"/>
      <c r="G110" s="43"/>
    </row>
    <row r="111" spans="2:7" x14ac:dyDescent="0.15">
      <c r="B111" s="43"/>
      <c r="C111" s="43"/>
      <c r="D111" s="43"/>
      <c r="E111" s="43"/>
      <c r="F111" s="43"/>
      <c r="G111" s="43"/>
    </row>
    <row r="112" spans="2:7" x14ac:dyDescent="0.15">
      <c r="B112" s="43"/>
      <c r="C112" s="43"/>
      <c r="D112" s="43"/>
      <c r="E112" s="43"/>
      <c r="F112" s="43"/>
      <c r="G112" s="43"/>
    </row>
    <row r="113" spans="2:7" x14ac:dyDescent="0.15">
      <c r="B113" s="43"/>
      <c r="C113" s="43"/>
      <c r="D113" s="43"/>
      <c r="E113" s="43"/>
      <c r="F113" s="43"/>
      <c r="G113" s="43"/>
    </row>
    <row r="114" spans="2:7" x14ac:dyDescent="0.15">
      <c r="B114" s="43"/>
      <c r="C114" s="43"/>
      <c r="D114" s="43"/>
      <c r="E114" s="43"/>
      <c r="F114" s="43"/>
      <c r="G114" s="43"/>
    </row>
    <row r="115" spans="2:7" x14ac:dyDescent="0.15">
      <c r="B115" s="43"/>
      <c r="C115" s="43"/>
      <c r="D115" s="43"/>
      <c r="E115" s="43"/>
      <c r="F115" s="43"/>
      <c r="G115" s="43"/>
    </row>
    <row r="116" spans="2:7" x14ac:dyDescent="0.15">
      <c r="B116" s="43"/>
      <c r="C116" s="43"/>
      <c r="D116" s="43"/>
      <c r="E116" s="43"/>
      <c r="F116" s="43"/>
      <c r="G116" s="43"/>
    </row>
    <row r="117" spans="2:7" x14ac:dyDescent="0.15">
      <c r="B117" s="43"/>
      <c r="C117" s="43"/>
      <c r="D117" s="43"/>
      <c r="E117" s="43"/>
      <c r="F117" s="43"/>
      <c r="G117" s="43"/>
    </row>
    <row r="118" spans="2:7" x14ac:dyDescent="0.15">
      <c r="B118" s="43"/>
      <c r="C118" s="43"/>
      <c r="D118" s="43"/>
      <c r="E118" s="43"/>
      <c r="F118" s="43"/>
      <c r="G118" s="43"/>
    </row>
    <row r="119" spans="2:7" x14ac:dyDescent="0.15">
      <c r="B119" s="43"/>
      <c r="C119" s="43"/>
      <c r="D119" s="43"/>
      <c r="E119" s="43"/>
      <c r="F119" s="43"/>
      <c r="G119" s="43"/>
    </row>
    <row r="120" spans="2:7" x14ac:dyDescent="0.15">
      <c r="B120" s="43"/>
      <c r="C120" s="43"/>
      <c r="D120" s="43"/>
      <c r="E120" s="43"/>
      <c r="F120" s="43"/>
      <c r="G120" s="43"/>
    </row>
    <row r="121" spans="2:7" x14ac:dyDescent="0.15">
      <c r="B121" s="43"/>
      <c r="C121" s="43"/>
      <c r="D121" s="43"/>
      <c r="E121" s="43"/>
      <c r="F121" s="43"/>
      <c r="G121" s="43"/>
    </row>
    <row r="122" spans="2:7" x14ac:dyDescent="0.15">
      <c r="B122" s="43"/>
      <c r="C122" s="43"/>
      <c r="D122" s="43"/>
      <c r="E122" s="43"/>
      <c r="F122" s="43"/>
      <c r="G122" s="43"/>
    </row>
    <row r="123" spans="2:7" x14ac:dyDescent="0.15">
      <c r="B123" s="43"/>
      <c r="C123" s="43"/>
      <c r="D123" s="43"/>
      <c r="E123" s="43"/>
      <c r="F123" s="43"/>
      <c r="G123" s="43"/>
    </row>
    <row r="124" spans="2:7" x14ac:dyDescent="0.15">
      <c r="B124" s="43"/>
      <c r="C124" s="43"/>
      <c r="D124" s="43"/>
      <c r="E124" s="43"/>
      <c r="F124" s="43"/>
      <c r="G124" s="43"/>
    </row>
    <row r="125" spans="2:7" x14ac:dyDescent="0.15">
      <c r="B125" s="43"/>
      <c r="C125" s="43"/>
      <c r="D125" s="43"/>
      <c r="E125" s="43"/>
      <c r="F125" s="43"/>
      <c r="G125" s="43"/>
    </row>
    <row r="126" spans="2:7" x14ac:dyDescent="0.15">
      <c r="B126" s="43"/>
      <c r="C126" s="43"/>
      <c r="D126" s="43"/>
      <c r="E126" s="43"/>
      <c r="F126" s="43"/>
      <c r="G126" s="43"/>
    </row>
    <row r="127" spans="2:7" x14ac:dyDescent="0.15">
      <c r="B127" s="43"/>
      <c r="C127" s="43"/>
      <c r="D127" s="43"/>
      <c r="E127" s="43"/>
      <c r="F127" s="43"/>
      <c r="G127" s="43"/>
    </row>
    <row r="128" spans="2:7" x14ac:dyDescent="0.15">
      <c r="B128" s="43"/>
      <c r="C128" s="43"/>
      <c r="D128" s="43"/>
      <c r="E128" s="43"/>
      <c r="F128" s="43"/>
      <c r="G128" s="43"/>
    </row>
    <row r="129" spans="2:7" x14ac:dyDescent="0.15">
      <c r="B129" s="43"/>
      <c r="C129" s="43"/>
      <c r="D129" s="43"/>
      <c r="E129" s="43"/>
      <c r="F129" s="43"/>
      <c r="G129" s="43"/>
    </row>
    <row r="130" spans="2:7" x14ac:dyDescent="0.15">
      <c r="B130" s="43"/>
      <c r="C130" s="43"/>
      <c r="D130" s="43"/>
      <c r="E130" s="43"/>
      <c r="F130" s="43"/>
      <c r="G130" s="43"/>
    </row>
    <row r="131" spans="2:7" x14ac:dyDescent="0.15">
      <c r="B131" s="43"/>
      <c r="C131" s="43"/>
      <c r="D131" s="43"/>
      <c r="E131" s="43"/>
      <c r="F131" s="43"/>
      <c r="G131" s="43"/>
    </row>
    <row r="132" spans="2:7" x14ac:dyDescent="0.15">
      <c r="B132" s="43"/>
      <c r="C132" s="43"/>
      <c r="D132" s="43"/>
      <c r="E132" s="43"/>
      <c r="F132" s="43"/>
      <c r="G132" s="43"/>
    </row>
    <row r="133" spans="2:7" x14ac:dyDescent="0.15">
      <c r="B133" s="43"/>
      <c r="C133" s="43"/>
      <c r="D133" s="43"/>
      <c r="E133" s="43"/>
      <c r="F133" s="43"/>
      <c r="G133" s="43"/>
    </row>
    <row r="134" spans="2:7" x14ac:dyDescent="0.15">
      <c r="B134" s="43"/>
      <c r="C134" s="43"/>
      <c r="D134" s="43"/>
      <c r="E134" s="43"/>
      <c r="F134" s="43"/>
      <c r="G134" s="43"/>
    </row>
    <row r="135" spans="2:7" x14ac:dyDescent="0.15">
      <c r="B135" s="43"/>
      <c r="C135" s="43"/>
      <c r="D135" s="43"/>
      <c r="E135" s="43"/>
      <c r="F135" s="43"/>
      <c r="G135" s="43"/>
    </row>
    <row r="136" spans="2:7" x14ac:dyDescent="0.15">
      <c r="B136" s="43"/>
      <c r="C136" s="43"/>
      <c r="D136" s="43"/>
      <c r="E136" s="43"/>
      <c r="F136" s="43"/>
      <c r="G136" s="43"/>
    </row>
    <row r="137" spans="2:7" x14ac:dyDescent="0.15">
      <c r="B137" s="43"/>
      <c r="C137" s="43"/>
      <c r="D137" s="43"/>
      <c r="E137" s="43"/>
      <c r="F137" s="43"/>
      <c r="G137" s="43"/>
    </row>
    <row r="138" spans="2:7" x14ac:dyDescent="0.15">
      <c r="B138" s="43"/>
      <c r="C138" s="43"/>
      <c r="D138" s="43"/>
      <c r="E138" s="43"/>
      <c r="F138" s="43"/>
      <c r="G138" s="43"/>
    </row>
    <row r="139" spans="2:7" x14ac:dyDescent="0.15">
      <c r="B139" s="43"/>
      <c r="C139" s="43"/>
      <c r="D139" s="43"/>
      <c r="E139" s="43"/>
      <c r="F139" s="43"/>
      <c r="G139" s="43"/>
    </row>
    <row r="140" spans="2:7" x14ac:dyDescent="0.15">
      <c r="B140" s="43"/>
      <c r="C140" s="43"/>
      <c r="D140" s="43"/>
      <c r="E140" s="43"/>
      <c r="F140" s="43"/>
      <c r="G140" s="43"/>
    </row>
    <row r="208" spans="2:7" x14ac:dyDescent="0.15">
      <c r="B208" s="44"/>
      <c r="C208" s="44"/>
      <c r="D208" s="44"/>
      <c r="E208" s="44"/>
      <c r="F208" s="44"/>
      <c r="G208" s="44"/>
    </row>
    <row r="209" spans="2:7" x14ac:dyDescent="0.15">
      <c r="B209" s="43"/>
      <c r="C209" s="43"/>
      <c r="D209" s="43"/>
      <c r="E209" s="43"/>
      <c r="F209" s="43"/>
      <c r="G209" s="43"/>
    </row>
    <row r="210" spans="2:7" x14ac:dyDescent="0.15">
      <c r="B210" s="43"/>
      <c r="C210" s="43"/>
      <c r="D210" s="43"/>
      <c r="E210" s="43"/>
      <c r="F210" s="43"/>
      <c r="G210" s="43"/>
    </row>
    <row r="211" spans="2:7" x14ac:dyDescent="0.15">
      <c r="B211" s="43"/>
      <c r="C211" s="43"/>
      <c r="D211" s="43"/>
      <c r="E211" s="43"/>
      <c r="F211" s="43"/>
      <c r="G211" s="43"/>
    </row>
    <row r="212" spans="2:7" x14ac:dyDescent="0.15">
      <c r="B212" s="43"/>
      <c r="C212" s="43"/>
      <c r="D212" s="43"/>
      <c r="E212" s="43"/>
      <c r="F212" s="43"/>
      <c r="G212" s="43"/>
    </row>
    <row r="213" spans="2:7" x14ac:dyDescent="0.15">
      <c r="B213" s="43"/>
      <c r="C213" s="43"/>
      <c r="D213" s="43"/>
      <c r="E213" s="43"/>
      <c r="F213" s="43"/>
      <c r="G213" s="43"/>
    </row>
    <row r="214" spans="2:7" x14ac:dyDescent="0.15">
      <c r="B214" s="43"/>
      <c r="C214" s="43"/>
      <c r="D214" s="43"/>
      <c r="E214" s="43"/>
      <c r="F214" s="43"/>
      <c r="G214" s="43"/>
    </row>
    <row r="215" spans="2:7" x14ac:dyDescent="0.15">
      <c r="B215" s="43"/>
      <c r="C215" s="43"/>
      <c r="D215" s="43"/>
      <c r="E215" s="43"/>
      <c r="F215" s="43"/>
      <c r="G215" s="43"/>
    </row>
    <row r="216" spans="2:7" x14ac:dyDescent="0.15">
      <c r="B216" s="43"/>
      <c r="C216" s="43"/>
      <c r="D216" s="43"/>
      <c r="E216" s="43"/>
      <c r="F216" s="43"/>
      <c r="G216" s="43"/>
    </row>
    <row r="217" spans="2:7" x14ac:dyDescent="0.15">
      <c r="B217" s="43"/>
      <c r="C217" s="43"/>
      <c r="D217" s="43"/>
      <c r="E217" s="43"/>
      <c r="F217" s="43"/>
      <c r="G217" s="43"/>
    </row>
    <row r="218" spans="2:7" x14ac:dyDescent="0.15">
      <c r="B218" s="43"/>
      <c r="C218" s="43"/>
      <c r="D218" s="43"/>
      <c r="E218" s="43"/>
      <c r="F218" s="43"/>
      <c r="G218" s="43"/>
    </row>
    <row r="219" spans="2:7" x14ac:dyDescent="0.15">
      <c r="B219" s="43"/>
      <c r="C219" s="43"/>
      <c r="D219" s="43"/>
      <c r="E219" s="43"/>
      <c r="F219" s="43"/>
      <c r="G219" s="43"/>
    </row>
    <row r="220" spans="2:7" x14ac:dyDescent="0.15">
      <c r="B220" s="43"/>
      <c r="C220" s="43"/>
      <c r="D220" s="43"/>
      <c r="E220" s="43"/>
      <c r="F220" s="43"/>
      <c r="G220" s="43"/>
    </row>
    <row r="221" spans="2:7" x14ac:dyDescent="0.15">
      <c r="B221" s="43"/>
      <c r="C221" s="43"/>
      <c r="D221" s="43"/>
      <c r="E221" s="43"/>
      <c r="F221" s="43"/>
      <c r="G221" s="43"/>
    </row>
    <row r="222" spans="2:7" x14ac:dyDescent="0.15">
      <c r="B222" s="43"/>
      <c r="C222" s="43"/>
      <c r="D222" s="43"/>
      <c r="E222" s="43"/>
      <c r="F222" s="43"/>
      <c r="G222" s="43"/>
    </row>
    <row r="223" spans="2:7" x14ac:dyDescent="0.15">
      <c r="B223" s="43"/>
      <c r="C223" s="43"/>
      <c r="D223" s="43"/>
      <c r="E223" s="43"/>
      <c r="F223" s="43"/>
      <c r="G223" s="43"/>
    </row>
    <row r="224" spans="2:7" x14ac:dyDescent="0.15">
      <c r="B224" s="43"/>
      <c r="C224" s="43"/>
      <c r="D224" s="43"/>
      <c r="E224" s="43"/>
      <c r="F224" s="43"/>
      <c r="G224" s="43"/>
    </row>
    <row r="225" spans="2:7" x14ac:dyDescent="0.15">
      <c r="B225" s="43"/>
      <c r="C225" s="43"/>
      <c r="D225" s="43"/>
      <c r="E225" s="43"/>
      <c r="F225" s="43"/>
      <c r="G225" s="43"/>
    </row>
    <row r="226" spans="2:7" x14ac:dyDescent="0.15">
      <c r="B226" s="43"/>
      <c r="C226" s="43"/>
      <c r="D226" s="43"/>
      <c r="E226" s="43"/>
      <c r="F226" s="43"/>
      <c r="G226" s="43"/>
    </row>
    <row r="227" spans="2:7" x14ac:dyDescent="0.15">
      <c r="B227" s="43"/>
      <c r="C227" s="43"/>
      <c r="D227" s="43"/>
      <c r="E227" s="43"/>
      <c r="F227" s="43"/>
      <c r="G227" s="43"/>
    </row>
    <row r="228" spans="2:7" x14ac:dyDescent="0.15">
      <c r="B228" s="43"/>
      <c r="C228" s="43"/>
      <c r="D228" s="43"/>
      <c r="E228" s="43"/>
      <c r="F228" s="43"/>
      <c r="G228" s="43"/>
    </row>
    <row r="229" spans="2:7" x14ac:dyDescent="0.15">
      <c r="B229" s="43"/>
      <c r="C229" s="43"/>
      <c r="D229" s="43"/>
      <c r="E229" s="43"/>
      <c r="F229" s="43"/>
      <c r="G229" s="43"/>
    </row>
    <row r="230" spans="2:7" x14ac:dyDescent="0.15">
      <c r="B230" s="43"/>
      <c r="C230" s="43"/>
      <c r="D230" s="43"/>
      <c r="E230" s="43"/>
      <c r="F230" s="43"/>
      <c r="G230" s="43"/>
    </row>
    <row r="231" spans="2:7" x14ac:dyDescent="0.15">
      <c r="B231" s="43"/>
      <c r="C231" s="43"/>
      <c r="D231" s="43"/>
      <c r="E231" s="43"/>
      <c r="F231" s="43"/>
      <c r="G231" s="43"/>
    </row>
    <row r="232" spans="2:7" x14ac:dyDescent="0.15">
      <c r="B232" s="43"/>
      <c r="C232" s="43"/>
      <c r="D232" s="43"/>
      <c r="E232" s="43"/>
      <c r="F232" s="43"/>
      <c r="G232" s="43"/>
    </row>
    <row r="233" spans="2:7" x14ac:dyDescent="0.15">
      <c r="B233" s="43"/>
      <c r="C233" s="43"/>
      <c r="D233" s="43"/>
      <c r="E233" s="43"/>
      <c r="F233" s="43"/>
      <c r="G233" s="43"/>
    </row>
    <row r="234" spans="2:7" x14ac:dyDescent="0.15">
      <c r="B234" s="43"/>
      <c r="C234" s="43"/>
      <c r="D234" s="43"/>
      <c r="E234" s="43"/>
      <c r="F234" s="43"/>
      <c r="G234" s="43"/>
    </row>
    <row r="235" spans="2:7" x14ac:dyDescent="0.15">
      <c r="B235" s="43"/>
      <c r="C235" s="43"/>
      <c r="D235" s="43"/>
      <c r="E235" s="43"/>
      <c r="F235" s="43"/>
      <c r="G235" s="43"/>
    </row>
    <row r="236" spans="2:7" x14ac:dyDescent="0.15">
      <c r="B236" s="43"/>
      <c r="C236" s="43"/>
      <c r="D236" s="43"/>
      <c r="E236" s="43"/>
      <c r="F236" s="43"/>
      <c r="G236" s="43"/>
    </row>
    <row r="237" spans="2:7" x14ac:dyDescent="0.15">
      <c r="B237" s="43"/>
      <c r="C237" s="43"/>
      <c r="D237" s="43"/>
      <c r="E237" s="43"/>
      <c r="F237" s="43"/>
      <c r="G237" s="43"/>
    </row>
    <row r="238" spans="2:7" x14ac:dyDescent="0.15">
      <c r="B238" s="43"/>
      <c r="C238" s="43"/>
      <c r="D238" s="43"/>
      <c r="E238" s="43"/>
      <c r="F238" s="43"/>
      <c r="G238" s="43"/>
    </row>
    <row r="239" spans="2:7" x14ac:dyDescent="0.15">
      <c r="B239" s="43"/>
      <c r="C239" s="43"/>
      <c r="D239" s="43"/>
      <c r="E239" s="43"/>
      <c r="F239" s="43"/>
      <c r="G239" s="43"/>
    </row>
    <row r="240" spans="2:7" x14ac:dyDescent="0.15">
      <c r="B240" s="43"/>
      <c r="C240" s="43"/>
      <c r="D240" s="43"/>
      <c r="E240" s="43"/>
      <c r="F240" s="43"/>
      <c r="G240" s="43"/>
    </row>
    <row r="241" spans="2:7" x14ac:dyDescent="0.15">
      <c r="B241" s="43"/>
      <c r="C241" s="43"/>
      <c r="D241" s="43"/>
      <c r="E241" s="43"/>
      <c r="F241" s="43"/>
      <c r="G241" s="43"/>
    </row>
    <row r="242" spans="2:7" x14ac:dyDescent="0.15">
      <c r="B242" s="43"/>
      <c r="C242" s="43"/>
      <c r="D242" s="43"/>
      <c r="E242" s="43"/>
      <c r="F242" s="43"/>
      <c r="G242" s="43"/>
    </row>
    <row r="243" spans="2:7" x14ac:dyDescent="0.15">
      <c r="B243" s="43"/>
      <c r="C243" s="43"/>
      <c r="D243" s="43"/>
      <c r="E243" s="43"/>
      <c r="F243" s="43"/>
      <c r="G243" s="43"/>
    </row>
    <row r="244" spans="2:7" x14ac:dyDescent="0.15">
      <c r="B244" s="43"/>
      <c r="C244" s="43"/>
      <c r="D244" s="43"/>
      <c r="E244" s="43"/>
      <c r="F244" s="43"/>
      <c r="G244" s="43"/>
    </row>
    <row r="245" spans="2:7" x14ac:dyDescent="0.15">
      <c r="B245" s="43"/>
      <c r="C245" s="43"/>
      <c r="D245" s="43"/>
      <c r="E245" s="43"/>
      <c r="F245" s="43"/>
      <c r="G245" s="43"/>
    </row>
    <row r="246" spans="2:7" x14ac:dyDescent="0.15">
      <c r="B246" s="43"/>
      <c r="C246" s="43"/>
      <c r="D246" s="43"/>
      <c r="E246" s="43"/>
      <c r="F246" s="43"/>
      <c r="G246" s="43"/>
    </row>
    <row r="247" spans="2:7" x14ac:dyDescent="0.15">
      <c r="B247" s="43"/>
      <c r="C247" s="43"/>
      <c r="D247" s="43"/>
      <c r="E247" s="43"/>
      <c r="F247" s="43"/>
      <c r="G247" s="43"/>
    </row>
    <row r="248" spans="2:7" x14ac:dyDescent="0.15">
      <c r="B248" s="43"/>
      <c r="C248" s="43"/>
      <c r="D248" s="43"/>
      <c r="E248" s="43"/>
      <c r="F248" s="43"/>
      <c r="G248" s="43"/>
    </row>
    <row r="249" spans="2:7" x14ac:dyDescent="0.15">
      <c r="B249" s="43"/>
      <c r="C249" s="43"/>
      <c r="D249" s="43"/>
      <c r="E249" s="43"/>
      <c r="F249" s="43"/>
      <c r="G249" s="43"/>
    </row>
    <row r="250" spans="2:7" x14ac:dyDescent="0.15">
      <c r="B250" s="43"/>
      <c r="C250" s="43"/>
      <c r="D250" s="43"/>
      <c r="E250" s="43"/>
      <c r="F250" s="43"/>
      <c r="G250" s="43"/>
    </row>
    <row r="251" spans="2:7" x14ac:dyDescent="0.15">
      <c r="B251" s="43"/>
      <c r="C251" s="43"/>
      <c r="D251" s="43"/>
      <c r="E251" s="43"/>
      <c r="F251" s="43"/>
      <c r="G251" s="43"/>
    </row>
    <row r="252" spans="2:7" x14ac:dyDescent="0.15">
      <c r="B252" s="43"/>
      <c r="C252" s="43"/>
      <c r="D252" s="43"/>
      <c r="E252" s="43"/>
      <c r="F252" s="43"/>
      <c r="G252" s="43"/>
    </row>
    <row r="253" spans="2:7" x14ac:dyDescent="0.15">
      <c r="B253" s="43"/>
      <c r="C253" s="43"/>
      <c r="D253" s="43"/>
      <c r="E253" s="43"/>
      <c r="F253" s="43"/>
      <c r="G253" s="43"/>
    </row>
    <row r="254" spans="2:7" x14ac:dyDescent="0.15">
      <c r="B254" s="43"/>
      <c r="C254" s="43"/>
      <c r="D254" s="43"/>
      <c r="E254" s="43"/>
      <c r="F254" s="43"/>
      <c r="G254" s="43"/>
    </row>
    <row r="255" spans="2:7" x14ac:dyDescent="0.15">
      <c r="B255" s="43"/>
      <c r="C255" s="43"/>
      <c r="D255" s="43"/>
      <c r="E255" s="43"/>
      <c r="F255" s="43"/>
      <c r="G255" s="43"/>
    </row>
    <row r="256" spans="2:7" x14ac:dyDescent="0.15">
      <c r="B256" s="43"/>
      <c r="C256" s="43"/>
      <c r="D256" s="43"/>
      <c r="E256" s="43"/>
      <c r="F256" s="43"/>
      <c r="G256" s="43"/>
    </row>
    <row r="257" spans="2:7" x14ac:dyDescent="0.15">
      <c r="B257" s="43"/>
      <c r="C257" s="43"/>
      <c r="D257" s="43"/>
      <c r="E257" s="43"/>
      <c r="F257" s="43"/>
      <c r="G257" s="43"/>
    </row>
    <row r="258" spans="2:7" x14ac:dyDescent="0.15">
      <c r="B258" s="43"/>
      <c r="C258" s="43"/>
      <c r="D258" s="43"/>
      <c r="E258" s="43"/>
      <c r="F258" s="43"/>
      <c r="G258" s="43"/>
    </row>
    <row r="259" spans="2:7" x14ac:dyDescent="0.15">
      <c r="B259" s="43"/>
      <c r="C259" s="43"/>
      <c r="D259" s="43"/>
      <c r="E259" s="43"/>
      <c r="F259" s="43"/>
      <c r="G259" s="43"/>
    </row>
    <row r="260" spans="2:7" x14ac:dyDescent="0.15">
      <c r="B260" s="43"/>
      <c r="C260" s="43"/>
      <c r="D260" s="43"/>
      <c r="E260" s="43"/>
      <c r="F260" s="43"/>
      <c r="G260" s="43"/>
    </row>
    <row r="261" spans="2:7" x14ac:dyDescent="0.15">
      <c r="B261" s="43"/>
      <c r="C261" s="43"/>
      <c r="D261" s="43"/>
      <c r="E261" s="43"/>
      <c r="F261" s="43"/>
      <c r="G261" s="43"/>
    </row>
    <row r="262" spans="2:7" x14ac:dyDescent="0.15">
      <c r="B262" s="43"/>
      <c r="C262" s="43"/>
      <c r="D262" s="43"/>
      <c r="E262" s="43"/>
      <c r="F262" s="43"/>
      <c r="G262" s="43"/>
    </row>
    <row r="263" spans="2:7" x14ac:dyDescent="0.15">
      <c r="B263" s="43"/>
      <c r="C263" s="43"/>
      <c r="D263" s="43"/>
      <c r="E263" s="43"/>
      <c r="F263" s="43"/>
      <c r="G263" s="43"/>
    </row>
    <row r="264" spans="2:7" x14ac:dyDescent="0.15">
      <c r="B264" s="43"/>
      <c r="C264" s="43"/>
      <c r="D264" s="43"/>
      <c r="E264" s="43"/>
      <c r="F264" s="43"/>
      <c r="G264" s="43"/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RA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cws</cp:lastModifiedBy>
  <dcterms:created xsi:type="dcterms:W3CDTF">2011-06-30T00:09:01Z</dcterms:created>
  <dcterms:modified xsi:type="dcterms:W3CDTF">2021-12-23T08:50:57Z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